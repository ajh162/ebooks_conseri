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onserimx-my.sharepoint.com/personal/luis_jacobo_conseri_mx/Documents/Documentos/EBOOK/"/>
    </mc:Choice>
  </mc:AlternateContent>
  <xr:revisionPtr revIDLastSave="114" documentId="8_{C10B1F1F-9A40-4074-BEDA-5328FF26FFFB}" xr6:coauthVersionLast="47" xr6:coauthVersionMax="47" xr10:uidLastSave="{B96C20BF-A80A-44B8-9935-52149C40C1BD}"/>
  <bookViews>
    <workbookView xWindow="-120" yWindow="-120" windowWidth="29040" windowHeight="15720" xr2:uid="{00000000-000D-0000-FFFF-FFFF00000000}"/>
  </bookViews>
  <sheets>
    <sheet name="Portada" sheetId="1" r:id="rId1"/>
    <sheet name="Diagnóstico" sheetId="2" r:id="rId2"/>
    <sheet name="Inversión Inicial" sheetId="3" r:id="rId3"/>
    <sheet name="Punto Equilibrio" sheetId="4" r:id="rId4"/>
    <sheet name="Precio Servicios" sheetId="5" r:id="rId5"/>
    <sheet name="Control Mensual" sheetId="6" r:id="rId6"/>
    <sheet name="Checklist Fiscal" sheetId="7" r:id="rId7"/>
    <sheet name="Asesoría Previa" sheetId="8" r:id="rId8"/>
  </sheets>
  <definedNames>
    <definedName name="_xlnm.Print_Titles" localSheetId="7">'Asesoría Previa'!$1:$5</definedName>
    <definedName name="_xlnm.Print_Titles" localSheetId="6">'Checklist Fiscal'!$1:$5</definedName>
    <definedName name="_xlnm.Print_Titles" localSheetId="5">'Control Mensual'!$1:$5</definedName>
    <definedName name="_xlnm.Print_Titles" localSheetId="1">Diagnóstico!$1:$5</definedName>
    <definedName name="_xlnm.Print_Titles" localSheetId="2">'Inversión Inicial'!$1:$5</definedName>
    <definedName name="_xlnm.Print_Titles" localSheetId="0">Portada!$1:$5</definedName>
    <definedName name="_xlnm.Print_Titles" localSheetId="4">'Precio Servicios'!$1:$5</definedName>
    <definedName name="_xlnm.Print_Titles" localSheetId="3">'Punto Equilibrio'!$1:$5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6" l="1"/>
  <c r="L11" i="6"/>
  <c r="K11" i="6"/>
  <c r="J11" i="6"/>
  <c r="I11" i="6"/>
  <c r="H11" i="6"/>
  <c r="G11" i="6"/>
  <c r="F11" i="6"/>
  <c r="E11" i="6"/>
  <c r="D11" i="6"/>
  <c r="C11" i="6"/>
  <c r="B11" i="6"/>
  <c r="M9" i="6"/>
  <c r="L9" i="6"/>
  <c r="K9" i="6"/>
  <c r="J9" i="6"/>
  <c r="I9" i="6"/>
  <c r="H9" i="6"/>
  <c r="G9" i="6"/>
  <c r="F9" i="6"/>
  <c r="E9" i="6"/>
  <c r="D9" i="6"/>
  <c r="C9" i="6"/>
  <c r="M16" i="6"/>
  <c r="N16" i="6" s="1"/>
  <c r="L16" i="6"/>
  <c r="K16" i="6"/>
  <c r="J16" i="6"/>
  <c r="I16" i="6"/>
  <c r="H16" i="6"/>
  <c r="G16" i="6"/>
  <c r="F16" i="6"/>
  <c r="E16" i="6"/>
  <c r="D16" i="6"/>
  <c r="C16" i="6"/>
  <c r="B16" i="6"/>
  <c r="B9" i="6"/>
  <c r="B10" i="8"/>
  <c r="B9" i="8"/>
  <c r="B8" i="8"/>
  <c r="N13" i="6"/>
  <c r="N12" i="6"/>
  <c r="N10" i="6"/>
  <c r="N8" i="6"/>
  <c r="B9" i="5"/>
  <c r="D18" i="4"/>
  <c r="E18" i="4" s="1"/>
  <c r="D17" i="4"/>
  <c r="E17" i="4" s="1"/>
  <c r="D16" i="4"/>
  <c r="E16" i="4" s="1"/>
  <c r="D15" i="4"/>
  <c r="E15" i="4" s="1"/>
  <c r="D14" i="4"/>
  <c r="B8" i="4"/>
  <c r="B34" i="3"/>
  <c r="C22" i="3"/>
  <c r="D25" i="2"/>
  <c r="D24" i="2"/>
  <c r="D23" i="2"/>
  <c r="D22" i="2"/>
  <c r="D21" i="2"/>
  <c r="D20" i="2"/>
  <c r="D19" i="2"/>
  <c r="D18" i="2"/>
  <c r="L14" i="6" l="1"/>
  <c r="L15" i="6" s="1"/>
  <c r="D14" i="6"/>
  <c r="D15" i="6" s="1"/>
  <c r="E14" i="6"/>
  <c r="E15" i="6" s="1"/>
  <c r="M14" i="6"/>
  <c r="M15" i="6" s="1"/>
  <c r="I14" i="6"/>
  <c r="I15" i="6" s="1"/>
  <c r="C14" i="6"/>
  <c r="C15" i="6" s="1"/>
  <c r="J14" i="6"/>
  <c r="J15" i="6" s="1"/>
  <c r="K14" i="6"/>
  <c r="K15" i="6" s="1"/>
  <c r="H14" i="6"/>
  <c r="H15" i="6" s="1"/>
  <c r="G14" i="6"/>
  <c r="G15" i="6" s="1"/>
  <c r="N11" i="6"/>
  <c r="F14" i="6"/>
  <c r="F15" i="6" s="1"/>
  <c r="N9" i="6"/>
  <c r="B14" i="6"/>
  <c r="B15" i="6" s="1"/>
  <c r="B29" i="2"/>
  <c r="B30" i="2" s="1"/>
  <c r="F18" i="2"/>
  <c r="E18" i="2"/>
  <c r="F19" i="2"/>
  <c r="E19" i="2"/>
  <c r="F20" i="2"/>
  <c r="E20" i="2"/>
  <c r="F21" i="2"/>
  <c r="E21" i="2"/>
  <c r="F22" i="2"/>
  <c r="E22" i="2"/>
  <c r="F23" i="2"/>
  <c r="E23" i="2"/>
  <c r="F24" i="2"/>
  <c r="E24" i="2"/>
  <c r="F25" i="2"/>
  <c r="E25" i="2"/>
  <c r="B12" i="8"/>
  <c r="B14" i="8"/>
  <c r="B8" i="5"/>
  <c r="B7" i="4"/>
  <c r="B38" i="3"/>
  <c r="B39" i="3" s="1"/>
  <c r="B22" i="4"/>
  <c r="E14" i="4"/>
  <c r="N14" i="6" l="1"/>
  <c r="N15" i="6"/>
  <c r="B13" i="8"/>
  <c r="B40" i="3"/>
  <c r="B24" i="4"/>
  <c r="B23" i="4"/>
  <c r="B15" i="8" s="1"/>
  <c r="G18" i="4"/>
  <c r="F18" i="4"/>
  <c r="G17" i="4"/>
  <c r="F17" i="4"/>
  <c r="G16" i="4"/>
  <c r="F16" i="4"/>
  <c r="G15" i="4"/>
  <c r="F15" i="4"/>
  <c r="G14" i="4"/>
  <c r="F14" i="4"/>
  <c r="E18" i="5"/>
  <c r="E17" i="5"/>
  <c r="E16" i="5"/>
  <c r="E15" i="5"/>
  <c r="B11" i="8"/>
  <c r="B31" i="2"/>
  <c r="B16" i="8" l="1"/>
  <c r="F15" i="5"/>
  <c r="G15" i="5" s="1"/>
  <c r="H15" i="5" s="1"/>
  <c r="F16" i="5"/>
  <c r="G16" i="5" s="1"/>
  <c r="H16" i="5" s="1"/>
  <c r="I16" i="5" s="1"/>
  <c r="F17" i="5"/>
  <c r="G17" i="5" s="1"/>
  <c r="H17" i="5" s="1"/>
  <c r="I17" i="5" s="1"/>
  <c r="F18" i="5"/>
  <c r="G18" i="5" s="1"/>
  <c r="H18" i="5" s="1"/>
  <c r="I18" i="5" s="1"/>
  <c r="B24" i="5" l="1"/>
  <c r="B23" i="5"/>
  <c r="I15" i="5"/>
  <c r="B25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CONSERI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Fuentes incluidas en esta plantilla: SAT, Cámara de Diputados y Hotmart Academy. Usar como referencia educativa.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CONSERI</author>
  </authors>
  <commentList>
    <comment ref="B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Actualiza según tu realidad. Fuente: dato del usuario.</t>
        </r>
      </text>
    </comment>
    <comment ref="B8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Actualiza según tu realidad. Fuente: dato del usuario.</t>
        </r>
      </text>
    </comment>
    <comment ref="B9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Actualiza según tu realidad. Fuente: dato del usuario.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CONSERI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Fuentes incluidas en esta plantilla: SAT, Cámara de Diputados y Hotmart Academy. Usar como referencia educativa.</t>
        </r>
      </text>
    </comment>
  </commentList>
</comments>
</file>

<file path=xl/sharedStrings.xml><?xml version="1.0" encoding="utf-8"?>
<sst xmlns="http://schemas.openxmlformats.org/spreadsheetml/2006/main" count="415" uniqueCount="285">
  <si>
    <t>KIT ANTES DE EMPRENDER</t>
  </si>
  <si>
    <t>Plantillas financieras y fiscales para revisar antes de iniciar un negocio</t>
  </si>
  <si>
    <t>Convención de colores:</t>
  </si>
  <si>
    <t>Azul = captura del usuario</t>
  </si>
  <si>
    <t>Negro = fórmula</t>
  </si>
  <si>
    <t>Verde = dato vinculado</t>
  </si>
  <si>
    <t>Naranja = revisar</t>
  </si>
  <si>
    <t>Este archivo acompaña el ebook, minicurso grabado y asesoría personalizada. Llena primero las celdas azules y revisa los resultados calculados automáticamente.</t>
  </si>
  <si>
    <t>Hojas incluidas</t>
  </si>
  <si>
    <t>Hoja</t>
  </si>
  <si>
    <t>Para qué sirve</t>
  </si>
  <si>
    <t>Resultado esperado</t>
  </si>
  <si>
    <t>Diagnóstico</t>
  </si>
  <si>
    <t>Aterriza idea, cliente, actividad, riesgos y preparación fiscal.</t>
  </si>
  <si>
    <t>Decidir si la idea está lista para validarse.</t>
  </si>
  <si>
    <t>Inversión Inicial</t>
  </si>
  <si>
    <t>Calcula gastos de arranque y colchón de supervivencia.</t>
  </si>
  <si>
    <t>Saber cuánto necesitas antes de depender del negocio.</t>
  </si>
  <si>
    <t>Punto Equilibrio</t>
  </si>
  <si>
    <t>Calcula ventas/servicios mínimos para cubrir gastos.</t>
  </si>
  <si>
    <t>Definir metas mínimas de ventas.</t>
  </si>
  <si>
    <t>Precio Servicios</t>
  </si>
  <si>
    <t>Calcula precio mínimo, recomendado y premium.</t>
  </si>
  <si>
    <t>Evitar competir solo por precio.</t>
  </si>
  <si>
    <t>Control Mensual</t>
  </si>
  <si>
    <t>Da seguimiento a ingresos, gastos, impuestos y utilidad.</t>
  </si>
  <si>
    <t>Tomar decisiones mensuales con datos.</t>
  </si>
  <si>
    <t>Checklist Fiscal</t>
  </si>
  <si>
    <t>Organiza dudas y documentos para asesoría fiscal.</t>
  </si>
  <si>
    <t>Llegar mejor preparado al contador/asesor.</t>
  </si>
  <si>
    <t>Asesoría Previa</t>
  </si>
  <si>
    <t>Resumen para enviar antes de la sesión personalizada.</t>
  </si>
  <si>
    <t>Hacer la asesoría más productiva.</t>
  </si>
  <si>
    <t>Fuentes y notas</t>
  </si>
  <si>
    <t>SAT - Actividades empresariales y profesionales</t>
  </si>
  <si>
    <t>https://www.sat.gob.mx/portal/public/personas-fisicas/pf-actividades-empresariales-y-profesionales</t>
  </si>
  <si>
    <t>SAT - Regímenes fiscales para emprendedores</t>
  </si>
  <si>
    <t>https://wwwmat.sat.gob.mx/consulta/09788/emprendedor,-conoce-los-regimenes-fiscales-de-las-personas-fisicas</t>
  </si>
  <si>
    <t>Cámara de Diputados - Ley del IVA</t>
  </si>
  <si>
    <t>http://www.diputados.gob.mx/LeyesBiblio/pdf/LIVA.pdf</t>
  </si>
  <si>
    <t>Cámara de Diputados - Ley del ISR</t>
  </si>
  <si>
    <t>https://www.diputados.gob.mx/LeyesBiblio/ref/lisr.htm</t>
  </si>
  <si>
    <t>Aviso: estas plantillas son educativas y no sustituyen asesoría fiscal, contable, legal o financiera personalizada. Valida régimen, obligaciones e impuestos con un especialista antes de operar o emitir CFDI recurrentes.</t>
  </si>
  <si>
    <t>Diagnóstico antes de emprender</t>
  </si>
  <si>
    <t>Completa la información base para evaluar claridad, riesgos y preparación inicial</t>
  </si>
  <si>
    <t>Datos del proyecto</t>
  </si>
  <si>
    <t>Campo</t>
  </si>
  <si>
    <t>Captura</t>
  </si>
  <si>
    <t>Estado</t>
  </si>
  <si>
    <t>Comentario</t>
  </si>
  <si>
    <t>Nombre del proyecto</t>
  </si>
  <si>
    <t>Listo</t>
  </si>
  <si>
    <t>Actividad principal</t>
  </si>
  <si>
    <t>Asesoría contable, fiscal y financiera</t>
  </si>
  <si>
    <t>Cliente ideal</t>
  </si>
  <si>
    <t>Emprendedores y pequeños negocios de habla hispana</t>
  </si>
  <si>
    <t>País/base fiscal de referencia</t>
  </si>
  <si>
    <t>México</t>
  </si>
  <si>
    <t>Revisar</t>
  </si>
  <si>
    <t>Adaptar si se vende fuera de México</t>
  </si>
  <si>
    <t>Problema que resuelve</t>
  </si>
  <si>
    <t>Falta de claridad financiera y fiscal antes de emprender</t>
  </si>
  <si>
    <t>Oferta inicial</t>
  </si>
  <si>
    <t>Semáforo de preparación</t>
  </si>
  <si>
    <t>Área</t>
  </si>
  <si>
    <t>Pregunta</t>
  </si>
  <si>
    <t>Respuesta</t>
  </si>
  <si>
    <t>Puntaje</t>
  </si>
  <si>
    <t>Interpretación</t>
  </si>
  <si>
    <t>Acción sugerida</t>
  </si>
  <si>
    <t>Idea</t>
  </si>
  <si>
    <t>¿Puedo explicar qué vendo en una frase?</t>
  </si>
  <si>
    <t>Sí</t>
  </si>
  <si>
    <t>Cliente</t>
  </si>
  <si>
    <t>¿Sé exactamente a quién quiero vender?</t>
  </si>
  <si>
    <t>Precio</t>
  </si>
  <si>
    <t>¿Tengo precio mínimo y recomendado calculado?</t>
  </si>
  <si>
    <t>No</t>
  </si>
  <si>
    <t>Costos</t>
  </si>
  <si>
    <t>¿Conozco mis gastos fijos y costos variables?</t>
  </si>
  <si>
    <t>Flujo</t>
  </si>
  <si>
    <t>¿Sé cuántos meses puedo resistir?</t>
  </si>
  <si>
    <t>Fiscal</t>
  </si>
  <si>
    <t>¿Validé régimen y obligaciones con asesoría?</t>
  </si>
  <si>
    <t>Venta</t>
  </si>
  <si>
    <t>¿Tengo canal inicial para conseguir prospectos?</t>
  </si>
  <si>
    <t>Parcial</t>
  </si>
  <si>
    <t>Operación</t>
  </si>
  <si>
    <t>¿Tengo proceso o checklist de entrega?</t>
  </si>
  <si>
    <t>Resultado diagnóstico</t>
  </si>
  <si>
    <t>Puntaje total</t>
  </si>
  <si>
    <t>Porcentaje de preparación</t>
  </si>
  <si>
    <t>Veredicto</t>
  </si>
  <si>
    <t>Inversión inicial y colchón</t>
  </si>
  <si>
    <t>Calcula cuánto necesitas para arrancar y sobrevivir los primeros meses</t>
  </si>
  <si>
    <t>Supuestos generales</t>
  </si>
  <si>
    <t>Meses de colchón objetivo</t>
  </si>
  <si>
    <t>Gasto personal mensual básico</t>
  </si>
  <si>
    <t>Reserva fiscal provisional sobre cobros</t>
  </si>
  <si>
    <t>Inversión inicial</t>
  </si>
  <si>
    <t>Concepto</t>
  </si>
  <si>
    <t>Indispensable</t>
  </si>
  <si>
    <t>Monto estimado</t>
  </si>
  <si>
    <t>Cuándo compra</t>
  </si>
  <si>
    <t>Fuente/nota</t>
  </si>
  <si>
    <t>Prioridad</t>
  </si>
  <si>
    <t>Equipo de cómputo</t>
  </si>
  <si>
    <t>Antes de iniciar</t>
  </si>
  <si>
    <t>Cotización o equipo actual</t>
  </si>
  <si>
    <t>Alta</t>
  </si>
  <si>
    <t>Software y herramientas</t>
  </si>
  <si>
    <t>Licencias requeridas</t>
  </si>
  <si>
    <t>Dominio / página / marca básica</t>
  </si>
  <si>
    <t>Primer mes</t>
  </si>
  <si>
    <t>Presencia mínima viable</t>
  </si>
  <si>
    <t>Media</t>
  </si>
  <si>
    <t>Publicidad de lanzamiento</t>
  </si>
  <si>
    <t>Presupuesto de validación</t>
  </si>
  <si>
    <t>Capacitación inicial</t>
  </si>
  <si>
    <t>Actualización técnica</t>
  </si>
  <si>
    <t>Asesoría legal/fiscal inicial</t>
  </si>
  <si>
    <t>Antes de facturar</t>
  </si>
  <si>
    <t>Validación de régimen/contratos</t>
  </si>
  <si>
    <t>Papelería/plantillas/formato</t>
  </si>
  <si>
    <t>Después</t>
  </si>
  <si>
    <t>Puede iniciar en versión básica</t>
  </si>
  <si>
    <t>Baja</t>
  </si>
  <si>
    <t>Total inversión inicial</t>
  </si>
  <si>
    <t>Gastos fijos mensuales del negocio</t>
  </si>
  <si>
    <t>Monto mensual</t>
  </si>
  <si>
    <t>¿Reducible?</t>
  </si>
  <si>
    <t>Acción</t>
  </si>
  <si>
    <t>Revisar licencias duplicadas</t>
  </si>
  <si>
    <t>Activo</t>
  </si>
  <si>
    <t>Optimizar</t>
  </si>
  <si>
    <t>Internet, teléfono y nube</t>
  </si>
  <si>
    <t>Necesario para operación</t>
  </si>
  <si>
    <t>Mantener</t>
  </si>
  <si>
    <t>Publicidad y contenido</t>
  </si>
  <si>
    <t>Medir generación de prospectos</t>
  </si>
  <si>
    <t>Medir ROI</t>
  </si>
  <si>
    <t>Capacitación promedio</t>
  </si>
  <si>
    <t>Necesaria en temas fiscales</t>
  </si>
  <si>
    <t>Priorizar</t>
  </si>
  <si>
    <t>Apoyo externo eventual</t>
  </si>
  <si>
    <t>Usarlo si libera tiempo</t>
  </si>
  <si>
    <t>Variable</t>
  </si>
  <si>
    <t>Controlar</t>
  </si>
  <si>
    <t>Gastos administrativos varios</t>
  </si>
  <si>
    <t>Evitar fugas pequeñas</t>
  </si>
  <si>
    <t>Reducir</t>
  </si>
  <si>
    <t>Total gastos fijos del negocio</t>
  </si>
  <si>
    <t>Colchón de supervivencia</t>
  </si>
  <si>
    <t>Presión mensual total</t>
  </si>
  <si>
    <t>Colchón sugerido</t>
  </si>
  <si>
    <t>Total para arrancar + colchón</t>
  </si>
  <si>
    <t>Punto de equilibrio</t>
  </si>
  <si>
    <t>Calcula cuántos productos, servicios o clientes necesitas para no perder</t>
  </si>
  <si>
    <t>Supuestos vinculados</t>
  </si>
  <si>
    <t>Gastos fijos mensuales</t>
  </si>
  <si>
    <t>Gasto personal del emprendedor</t>
  </si>
  <si>
    <t>Meta utilidad adicional</t>
  </si>
  <si>
    <t>Productos o servicios</t>
  </si>
  <si>
    <t>Servicio/Producto</t>
  </si>
  <si>
    <t>Precio unitario</t>
  </si>
  <si>
    <t>Costo variable</t>
  </si>
  <si>
    <t>Margen unitario</t>
  </si>
  <si>
    <t>Margen %</t>
  </si>
  <si>
    <t>Unidades para cubrir negocio</t>
  </si>
  <si>
    <t>Unidades para cubrir negocio + vida</t>
  </si>
  <si>
    <t>Contabilidad mensual básica</t>
  </si>
  <si>
    <t>Asesoría fiscal puntual</t>
  </si>
  <si>
    <t>Regularización simple</t>
  </si>
  <si>
    <t>Diagnóstico financiero inicial</t>
  </si>
  <si>
    <t>Resumen</t>
  </si>
  <si>
    <t>Margen promedio unitario</t>
  </si>
  <si>
    <t>Unidades promedio para cubrir negocio</t>
  </si>
  <si>
    <t>Unidades promedio para cubrir negocio + vida</t>
  </si>
  <si>
    <t>Calculadora de precio</t>
  </si>
  <si>
    <t>Construye precio mínimo, recomendado y premium</t>
  </si>
  <si>
    <t>Horas disponibles facturables al mes</t>
  </si>
  <si>
    <t>Reserva fiscal provisional</t>
  </si>
  <si>
    <t>Margen objetivo</t>
  </si>
  <si>
    <t>Servicios</t>
  </si>
  <si>
    <t>Servicio</t>
  </si>
  <si>
    <t>Horas entrega</t>
  </si>
  <si>
    <t>Costo directo</t>
  </si>
  <si>
    <t>Valor hora</t>
  </si>
  <si>
    <t>Parte gastos fijos</t>
  </si>
  <si>
    <t>Reserva fiscal</t>
  </si>
  <si>
    <t>Precio mínimo</t>
  </si>
  <si>
    <t>Precio recomendado</t>
  </si>
  <si>
    <t>Precio premium</t>
  </si>
  <si>
    <t>Paquetes sugeridos</t>
  </si>
  <si>
    <t>Paquete</t>
  </si>
  <si>
    <t>Incluye</t>
  </si>
  <si>
    <t>Nota</t>
  </si>
  <si>
    <t>Básico</t>
  </si>
  <si>
    <t>Cumplimiento mínimo + recordatorios</t>
  </si>
  <si>
    <t>Emprendedor con operación simple</t>
  </si>
  <si>
    <t>Evitar alcance excesivo</t>
  </si>
  <si>
    <t>Integral</t>
  </si>
  <si>
    <t>Revisión mensual + asesoría puntual</t>
  </si>
  <si>
    <t>Negocio que requiere decisiones</t>
  </si>
  <si>
    <t>Mejor opción</t>
  </si>
  <si>
    <t>Premium</t>
  </si>
  <si>
    <t>Prioridad + indicadores + seguimiento</t>
  </si>
  <si>
    <t>Cliente con mayor complejidad</t>
  </si>
  <si>
    <t>Validar capacidad</t>
  </si>
  <si>
    <t>Control mensual</t>
  </si>
  <si>
    <t>Registra ingresos, gastos, impuestos y utilidad estimada cada mes</t>
  </si>
  <si>
    <t>Captura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</si>
  <si>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</si>
  <si>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</si>
  <si>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</si>
  <si>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</si>
  <si>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</si>
  <si>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</si>
  <si>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</si>
  <si>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</si>
  <si>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</si>
  <si>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</si>
  <si>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</si>
  <si>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</si>
  <si>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Total/Prom.</t>
  </si>
  <si>
    <t>Ingresos cobrados</t>
  </si>
  <si>
    <t>Costos variables</t>
  </si>
  <si>
    <t>Gastos fijos</t>
  </si>
  <si>
    <t>Reserva impuestos</t>
  </si>
  <si>
    <t>Pago dueño</t>
  </si>
  <si>
    <t>Otros gastos</t>
  </si>
  <si>
    <t>Utilidad estimada</t>
  </si>
  <si>
    <t>Margen utilidad</t>
  </si>
  <si>
    <t>Cuentas por cobrar</t>
  </si>
  <si>
    <t>Total anual</t>
  </si>
  <si>
    <t>Checklist fiscal antes de operar</t>
  </si>
  <si>
    <t>Organiza información para revisar régimen, obligaciones y documentos</t>
  </si>
  <si>
    <t>Preguntas fiscales básicas</t>
  </si>
  <si>
    <t>Notas</t>
  </si>
  <si>
    <t>Actividad</t>
  </si>
  <si>
    <t>¿La actividad económica está descrita con claridad?</t>
  </si>
  <si>
    <t>Pendiente</t>
  </si>
  <si>
    <t>Régimen</t>
  </si>
  <si>
    <t>¿Se validó si conviene RESICO, actividad empresarial/profesional u otro?</t>
  </si>
  <si>
    <t>IVA</t>
  </si>
  <si>
    <t>¿La operación causa IVA o existen exenciones/no objeto?</t>
  </si>
  <si>
    <t>Retenciones</t>
  </si>
  <si>
    <t>¿Los clientes harán retenciones?</t>
  </si>
  <si>
    <t>CFDI</t>
  </si>
  <si>
    <t>¿Se definió concepto, clave de producto/servicio y uso frecuente?</t>
  </si>
  <si>
    <t>Deducciones</t>
  </si>
  <si>
    <t>¿Se tienen identificados gastos y CFDI deducibles?</t>
  </si>
  <si>
    <t>Declaraciones</t>
  </si>
  <si>
    <t>¿Se calendarizaron obligaciones mensuales/anuales?</t>
  </si>
  <si>
    <t>Cuenta bancaria</t>
  </si>
  <si>
    <t>¿Se separó cuenta del negocio y personal?</t>
  </si>
  <si>
    <t>Contratos</t>
  </si>
  <si>
    <t>¿Existe contrato o propuesta de servicio?</t>
  </si>
  <si>
    <t>Fuentes útiles</t>
  </si>
  <si>
    <t>SAT - Regímenes personas físicas</t>
  </si>
  <si>
    <t>Ley IVA Cámara de Diputados</t>
  </si>
  <si>
    <t>Ley ISR Cámara de Diputados</t>
  </si>
  <si>
    <t>Resumen para asesoría personalizada</t>
  </si>
  <si>
    <t>Completa esta hoja antes de tu sesión de diagnóstico</t>
  </si>
  <si>
    <t>Resumen ejecutivo</t>
  </si>
  <si>
    <t>Tema</t>
  </si>
  <si>
    <t>Respuesta / dato vinculado</t>
  </si>
  <si>
    <t>Comentario para asesoría</t>
  </si>
  <si>
    <t>Proyecto / actividad</t>
  </si>
  <si>
    <t>Puntaje diagnóstico</t>
  </si>
  <si>
    <t>Gasto fijo mensual</t>
  </si>
  <si>
    <t>Preguntas para la asesoría</t>
  </si>
  <si>
    <t>Detalle</t>
  </si>
  <si>
    <t>Respuesta durante asesoría</t>
  </si>
  <si>
    <t>Acción posterior</t>
  </si>
  <si>
    <t>¿Qué régimen fiscal puede corresponderme?</t>
  </si>
  <si>
    <t>¿Estoy considerando correctamente IVA, ISR o retenciones?</t>
  </si>
  <si>
    <t>¿Mis precios cubren costos, impuestos y margen?</t>
  </si>
  <si>
    <t>¿Qué documentos debo conservar desde el inicio?</t>
  </si>
  <si>
    <t>¿Qué plantilla debo revisar cada mes?</t>
  </si>
  <si>
    <t>Conseri</t>
  </si>
  <si>
    <t>https://www.conseri.mx/</t>
  </si>
  <si>
    <t xml:space="preserve">Despacho CONSERI </t>
  </si>
  <si>
    <t>Servicio integral contable y fiscal</t>
  </si>
  <si>
    <t>Contabilidad mensual 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</si>
</sst>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;[Red]\(0.0%\);\-"/>
    <numFmt numFmtId="166" formatCode="\$#,##0;[Red]\(\$#,##0\);\-"/>
    <numFmt numFmtId="167" formatCode="#,##0;[Red]\(#,##0\);\-"/>
  </numFmts>
  <fonts count="19" x14ac:knownFonts="1">
    <font>
      <sz val="11"/>
      <color theme="1"/>
      <name val="Calibri"/>
      <family val="2"/>
      <scheme val="minor"/>
    </font>
    <font>
      <b/>
      <sz val="16"/>
      <color rgb="FFFFFFFF"/>
      <name val="Aptos Display"/>
    </font>
    <font>
      <i/>
      <sz val="10"/>
      <color rgb="FF1B365D"/>
      <name val="Aptos"/>
    </font>
    <font>
      <b/>
      <sz val="11"/>
      <color rgb="FF1B365D"/>
      <name val="Calibri"/>
    </font>
    <font>
      <sz val="9"/>
      <color rgb="FF0000FF"/>
      <name val="Calibri"/>
    </font>
    <font>
      <sz val="9"/>
      <color rgb="FF000000"/>
      <name val="Calibri"/>
    </font>
    <font>
      <sz val="9"/>
      <color rgb="FF008000"/>
      <name val="Calibri"/>
    </font>
    <font>
      <sz val="9"/>
      <color rgb="FFC65911"/>
      <name val="Calibri"/>
    </font>
    <font>
      <b/>
      <sz val="11"/>
      <color rgb="FFFFFFFF"/>
      <name val="Aptos"/>
    </font>
    <font>
      <b/>
      <sz val="9"/>
      <color rgb="FFFFFFFF"/>
      <name val="Calibri"/>
    </font>
    <font>
      <sz val="11"/>
      <color rgb="FF000000"/>
      <name val="Calibri"/>
    </font>
    <font>
      <b/>
      <sz val="11"/>
      <color rgb="FF008000"/>
      <name val="Calibri"/>
    </font>
    <font>
      <u/>
      <sz val="11"/>
      <color rgb="FF008000"/>
      <name val="Calibri"/>
    </font>
    <font>
      <i/>
      <sz val="9"/>
      <color rgb="FF666666"/>
      <name val="Calibri"/>
    </font>
    <font>
      <sz val="11"/>
      <color rgb="FF0000FF"/>
      <name val="Calibri"/>
    </font>
    <font>
      <b/>
      <sz val="11"/>
      <color rgb="FF000000"/>
      <name val="Calibri"/>
    </font>
    <font>
      <sz val="11"/>
      <color rgb="FF008000"/>
      <name val="Calibri"/>
    </font>
    <font>
      <b/>
      <sz val="11"/>
      <color rgb="FFFFFFFF"/>
      <name val="Calibri"/>
    </font>
    <font>
      <sz val="11"/>
      <color rgb="FF0000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EAF6F6"/>
      </patternFill>
    </fill>
    <fill>
      <patternFill patternType="solid">
        <fgColor rgb="FFFFF2CC"/>
      </patternFill>
    </fill>
    <fill>
      <patternFill patternType="solid">
        <fgColor rgb="FF008080"/>
      </patternFill>
    </fill>
    <fill>
      <patternFill patternType="solid">
        <fgColor rgb="FFBF9000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B365D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medium">
        <color rgb="FF1B365D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left" vertical="center" wrapText="1"/>
    </xf>
    <xf numFmtId="164" fontId="10" fillId="8" borderId="3" xfId="0" applyNumberFormat="1" applyFont="1" applyFill="1" applyBorder="1" applyAlignment="1">
      <alignment horizontal="left" vertical="center" wrapText="1"/>
    </xf>
    <xf numFmtId="0" fontId="10" fillId="8" borderId="3" xfId="0" applyFont="1" applyFill="1" applyBorder="1" applyAlignment="1">
      <alignment horizontal="left" vertical="center" wrapText="1"/>
    </xf>
    <xf numFmtId="165" fontId="10" fillId="8" borderId="3" xfId="0" applyNumberFormat="1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 wrapText="1"/>
    </xf>
    <xf numFmtId="166" fontId="14" fillId="7" borderId="2" xfId="0" applyNumberFormat="1" applyFont="1" applyFill="1" applyBorder="1" applyAlignment="1">
      <alignment horizontal="left" vertical="center" wrapText="1"/>
    </xf>
    <xf numFmtId="165" fontId="14" fillId="7" borderId="2" xfId="0" applyNumberFormat="1" applyFont="1" applyFill="1" applyBorder="1" applyAlignment="1">
      <alignment horizontal="left" vertical="center" wrapText="1"/>
    </xf>
    <xf numFmtId="166" fontId="15" fillId="4" borderId="4" xfId="0" applyNumberFormat="1" applyFont="1" applyFill="1" applyBorder="1" applyAlignment="1">
      <alignment horizontal="left" vertical="center" wrapText="1"/>
    </xf>
    <xf numFmtId="166" fontId="10" fillId="8" borderId="3" xfId="0" applyNumberFormat="1" applyFont="1" applyFill="1" applyBorder="1" applyAlignment="1">
      <alignment horizontal="left" vertical="center" wrapText="1"/>
    </xf>
    <xf numFmtId="166" fontId="16" fillId="8" borderId="3" xfId="0" applyNumberFormat="1" applyFont="1" applyFill="1" applyBorder="1" applyAlignment="1">
      <alignment horizontal="left" vertical="center" wrapText="1"/>
    </xf>
    <xf numFmtId="167" fontId="10" fillId="8" borderId="3" xfId="0" applyNumberFormat="1" applyFont="1" applyFill="1" applyBorder="1" applyAlignment="1">
      <alignment horizontal="left" vertical="center" wrapText="1"/>
    </xf>
    <xf numFmtId="167" fontId="14" fillId="7" borderId="2" xfId="0" applyNumberFormat="1" applyFont="1" applyFill="1" applyBorder="1" applyAlignment="1">
      <alignment horizontal="left" vertical="center" wrapText="1"/>
    </xf>
    <xf numFmtId="165" fontId="16" fillId="8" borderId="3" xfId="0" applyNumberFormat="1" applyFont="1" applyFill="1" applyBorder="1" applyAlignment="1">
      <alignment horizontal="left" vertical="center" wrapText="1"/>
    </xf>
    <xf numFmtId="0" fontId="16" fillId="8" borderId="3" xfId="0" applyFont="1" applyFill="1" applyBorder="1" applyAlignment="1">
      <alignment horizontal="left" vertical="center" wrapText="1"/>
    </xf>
    <xf numFmtId="167" fontId="16" fillId="8" borderId="3" xfId="0" applyNumberFormat="1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13" fillId="4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4" fillId="7" borderId="2" xfId="0" applyNumberFormat="1" applyFont="1" applyFill="1" applyBorder="1" applyAlignment="1">
      <alignment horizontal="left" vertical="center" wrapText="1"/>
    </xf>
    <xf numFmtId="166" fontId="0" fillId="0" borderId="0" xfId="0" applyNumberFormat="1" applyAlignment="1">
      <alignment horizontal="left" vertical="center" wrapText="1"/>
    </xf>
    <xf numFmtId="0" fontId="18" fillId="7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MX"/>
              <a:t>Unidades necesarias por servicio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'Punto Equilibrio'!$F$13</c:f>
              <c:strCache>
                <c:ptCount val="1"/>
                <c:pt idx="0">
                  <c:v>Unidades para cubrir negocio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'Punto Equilibrio'!$A$14:$A$18</c:f>
              <c:strCache>
                <c:ptCount val="5"/>
                <c:pt idx="0">
                  <c:v>Contabilidad mensual básica</c:v>
                </c:pt>
                <c:pt idx="1">
                  <c:v>Asesoría fiscal puntual</c:v>
                </c:pt>
                <c:pt idx="2">
                  <c:v>Regularización simple</c:v>
                </c:pt>
                <c:pt idx="3">
                  <c:v>Diagnóstico financiero inicial</c:v>
                </c:pt>
                <c:pt idx="4">
                  <c:v>Contabilidad mensual PF</c:v>
                </c:pt>
              </c:strCache>
            </c:strRef>
          </c:cat>
          <c:val>
            <c:numRef>
              <c:f>'Punto Equilibrio'!$F$14:$F$18</c:f>
              <c:numCache>
                <c:formatCode>#,##0;[Red]\(#,##0\);\-</c:formatCode>
                <c:ptCount val="5"/>
                <c:pt idx="0">
                  <c:v>8</c:v>
                </c:pt>
                <c:pt idx="1">
                  <c:v>8</c:v>
                </c:pt>
                <c:pt idx="2">
                  <c:v>4</c:v>
                </c:pt>
                <c:pt idx="3">
                  <c:v>5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E-4B23-A491-D79AE1FAB6F1}"/>
            </c:ext>
          </c:extLst>
        </c:ser>
        <c:ser>
          <c:idx val="1"/>
          <c:order val="1"/>
          <c:tx>
            <c:strRef>
              <c:f>'Punto Equilibrio'!$G$13</c:f>
              <c:strCache>
                <c:ptCount val="1"/>
                <c:pt idx="0">
                  <c:v>Unidades para cubrir negocio + vida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'Punto Equilibrio'!$A$14:$A$18</c:f>
              <c:strCache>
                <c:ptCount val="5"/>
                <c:pt idx="0">
                  <c:v>Contabilidad mensual básica</c:v>
                </c:pt>
                <c:pt idx="1">
                  <c:v>Asesoría fiscal puntual</c:v>
                </c:pt>
                <c:pt idx="2">
                  <c:v>Regularización simple</c:v>
                </c:pt>
                <c:pt idx="3">
                  <c:v>Diagnóstico financiero inicial</c:v>
                </c:pt>
                <c:pt idx="4">
                  <c:v>Contabilidad mensual PF</c:v>
                </c:pt>
              </c:strCache>
            </c:strRef>
          </c:cat>
          <c:val>
            <c:numRef>
              <c:f>'Punto Equilibrio'!$G$14:$G$18</c:f>
              <c:numCache>
                <c:formatCode>#,##0;[Red]\(#,##0\);\-</c:formatCode>
                <c:ptCount val="5"/>
                <c:pt idx="0">
                  <c:v>17</c:v>
                </c:pt>
                <c:pt idx="1">
                  <c:v>18</c:v>
                </c:pt>
                <c:pt idx="2">
                  <c:v>9</c:v>
                </c:pt>
                <c:pt idx="3">
                  <c:v>10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EE-4B23-A491-D79AE1FAB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Servicio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Unidades</a:t>
                </a:r>
              </a:p>
            </c:rich>
          </c:tx>
          <c:overlay val="1"/>
        </c:title>
        <c:numFmt formatCode="#,##0;[Red]\(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Ingresos vs utilidad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'Control Mensual'!$B$7:$M$7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'Control Mensual'!$B$8:$M$8</c:f>
              <c:numCache>
                <c:formatCode>\$#,##0;[Red]\(\$#,##0\);\-</c:formatCode>
                <c:ptCount val="12"/>
                <c:pt idx="0">
                  <c:v>80000</c:v>
                </c:pt>
                <c:pt idx="1">
                  <c:v>80000</c:v>
                </c:pt>
                <c:pt idx="2">
                  <c:v>120000</c:v>
                </c:pt>
                <c:pt idx="3">
                  <c:v>80000</c:v>
                </c:pt>
                <c:pt idx="4">
                  <c:v>80000</c:v>
                </c:pt>
                <c:pt idx="5">
                  <c:v>80000</c:v>
                </c:pt>
                <c:pt idx="6">
                  <c:v>80000</c:v>
                </c:pt>
                <c:pt idx="7">
                  <c:v>80000</c:v>
                </c:pt>
                <c:pt idx="8">
                  <c:v>80000</c:v>
                </c:pt>
                <c:pt idx="9">
                  <c:v>80000</c:v>
                </c:pt>
                <c:pt idx="10">
                  <c:v>80000</c:v>
                </c:pt>
                <c:pt idx="11">
                  <c:v>80000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5C-4E4C-B781-EDBAB29DA54C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'Control Mensual'!$B$7:$M$7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'Control Mensual'!$B$9:$M$9</c:f>
              <c:numCache>
                <c:formatCode>\$#,##0;[Red]\(\$#,##0\);\-</c:formatCode>
                <c:ptCount val="12"/>
                <c:pt idx="0">
                  <c:v>32000</c:v>
                </c:pt>
                <c:pt idx="1">
                  <c:v>32000</c:v>
                </c:pt>
                <c:pt idx="2">
                  <c:v>48000</c:v>
                </c:pt>
                <c:pt idx="3">
                  <c:v>32000</c:v>
                </c:pt>
                <c:pt idx="4">
                  <c:v>32000</c:v>
                </c:pt>
                <c:pt idx="5">
                  <c:v>32000</c:v>
                </c:pt>
                <c:pt idx="6">
                  <c:v>32000</c:v>
                </c:pt>
                <c:pt idx="7">
                  <c:v>32000</c:v>
                </c:pt>
                <c:pt idx="8">
                  <c:v>32000</c:v>
                </c:pt>
                <c:pt idx="9">
                  <c:v>32000</c:v>
                </c:pt>
                <c:pt idx="10">
                  <c:v>32000</c:v>
                </c:pt>
                <c:pt idx="11">
                  <c:v>32000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95C-4E4C-B781-EDBAB29DA54C}"/>
            </c:ext>
          </c:extLst>
        </c:ser>
        <c:ser>
          <c:idx val="2"/>
          <c:order val="2"/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'Control Mensual'!$B$7:$M$7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'Control Mensual'!$B$10:$M$10</c:f>
              <c:numCache>
                <c:formatCode>\$#,##0;[Red]\(\$#,##0\);\-</c:formatCode>
                <c:ptCount val="12"/>
                <c:pt idx="0">
                  <c:v>15000</c:v>
                </c:pt>
                <c:pt idx="1">
                  <c:v>15000</c:v>
                </c:pt>
                <c:pt idx="2">
                  <c:v>15000</c:v>
                </c:pt>
                <c:pt idx="3">
                  <c:v>15000</c:v>
                </c:pt>
                <c:pt idx="4">
                  <c:v>15000</c:v>
                </c:pt>
                <c:pt idx="5">
                  <c:v>15000</c:v>
                </c:pt>
                <c:pt idx="6">
                  <c:v>15000</c:v>
                </c:pt>
                <c:pt idx="7">
                  <c:v>15000</c:v>
                </c:pt>
                <c:pt idx="8">
                  <c:v>15000</c:v>
                </c:pt>
                <c:pt idx="9">
                  <c:v>15000</c:v>
                </c:pt>
                <c:pt idx="10">
                  <c:v>15000</c:v>
                </c:pt>
                <c:pt idx="11">
                  <c:v>15000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95C-4E4C-B781-EDBAB29DA54C}"/>
            </c:ext>
          </c:extLst>
        </c:ser>
        <c:ser>
          <c:idx val="3"/>
          <c:order val="3"/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'Control Mensual'!$B$7:$M$7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'Control Mensual'!$B$11:$M$11</c:f>
              <c:numCache>
                <c:formatCode>\$#,##0;[Red]\(\$#,##0\);\-</c:formatCode>
                <c:ptCount val="12"/>
                <c:pt idx="0">
                  <c:v>8000</c:v>
                </c:pt>
                <c:pt idx="1">
                  <c:v>8000</c:v>
                </c:pt>
                <c:pt idx="2">
                  <c:v>12000</c:v>
                </c:pt>
                <c:pt idx="3">
                  <c:v>8000</c:v>
                </c:pt>
                <c:pt idx="4">
                  <c:v>8000</c:v>
                </c:pt>
                <c:pt idx="5">
                  <c:v>8000</c:v>
                </c:pt>
                <c:pt idx="6">
                  <c:v>8000</c:v>
                </c:pt>
                <c:pt idx="7">
                  <c:v>8000</c:v>
                </c:pt>
                <c:pt idx="8">
                  <c:v>8000</c:v>
                </c:pt>
                <c:pt idx="9">
                  <c:v>8000</c:v>
                </c:pt>
                <c:pt idx="10">
                  <c:v>8000</c:v>
                </c:pt>
                <c:pt idx="11">
                  <c:v>8000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95C-4E4C-B781-EDBAB29DA54C}"/>
            </c:ext>
          </c:extLst>
        </c:ser>
        <c:ser>
          <c:idx val="4"/>
          <c:order val="4"/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'Control Mensual'!$B$7:$M$7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'Control Mensual'!$B$12:$M$12</c:f>
              <c:numCache>
                <c:formatCode>\$#,##0;[Red]\(\$#,##0\);\-</c:formatCode>
                <c:ptCount val="12"/>
                <c:pt idx="0">
                  <c:v>18000</c:v>
                </c:pt>
                <c:pt idx="1">
                  <c:v>18000</c:v>
                </c:pt>
                <c:pt idx="2">
                  <c:v>18000</c:v>
                </c:pt>
                <c:pt idx="3">
                  <c:v>18000</c:v>
                </c:pt>
                <c:pt idx="4">
                  <c:v>18000</c:v>
                </c:pt>
                <c:pt idx="5">
                  <c:v>18000</c:v>
                </c:pt>
                <c:pt idx="6">
                  <c:v>18000</c:v>
                </c:pt>
                <c:pt idx="7">
                  <c:v>18000</c:v>
                </c:pt>
                <c:pt idx="8">
                  <c:v>18000</c:v>
                </c:pt>
                <c:pt idx="9">
                  <c:v>18000</c:v>
                </c:pt>
                <c:pt idx="10">
                  <c:v>18000</c:v>
                </c:pt>
                <c:pt idx="11">
                  <c:v>18000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95C-4E4C-B781-EDBAB29DA54C}"/>
            </c:ext>
          </c:extLst>
        </c:ser>
        <c:ser>
          <c:idx val="5"/>
          <c:order val="5"/>
          <c:spPr>
            <a:ln w="349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'Control Mensual'!$B$7:$M$7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'Control Mensual'!$B$13:$M$13</c:f>
              <c:numCache>
                <c:formatCode>\$#,##0;[Red]\(\$#,##0\);\-</c:formatCode>
                <c:ptCount val="12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95C-4E4C-B781-EDBAB29DA54C}"/>
            </c:ext>
          </c:extLst>
        </c:ser>
        <c:ser>
          <c:idx val="6"/>
          <c:order val="6"/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'Control Mensual'!$B$7:$M$7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'Control Mensual'!$B$14:$M$14</c:f>
              <c:numCache>
                <c:formatCode>\$#,##0;[Red]\(\$#,##0\);\-</c:formatCode>
                <c:ptCount val="12"/>
                <c:pt idx="0">
                  <c:v>6500</c:v>
                </c:pt>
                <c:pt idx="1">
                  <c:v>6500</c:v>
                </c:pt>
                <c:pt idx="2">
                  <c:v>26500</c:v>
                </c:pt>
                <c:pt idx="3">
                  <c:v>6500</c:v>
                </c:pt>
                <c:pt idx="4">
                  <c:v>6500</c:v>
                </c:pt>
                <c:pt idx="5">
                  <c:v>6500</c:v>
                </c:pt>
                <c:pt idx="6">
                  <c:v>6500</c:v>
                </c:pt>
                <c:pt idx="7">
                  <c:v>6500</c:v>
                </c:pt>
                <c:pt idx="8">
                  <c:v>6500</c:v>
                </c:pt>
                <c:pt idx="9">
                  <c:v>6500</c:v>
                </c:pt>
                <c:pt idx="10">
                  <c:v>6500</c:v>
                </c:pt>
                <c:pt idx="11">
                  <c:v>6500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95C-4E4C-B781-EDBAB29DA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Mes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Monto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\$#,##0;[Red]\(\$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11</xdr:row>
      <xdr:rowOff>0</xdr:rowOff>
    </xdr:from>
    <xdr:ext cx="57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190499</xdr:rowOff>
    </xdr:from>
    <xdr:ext cx="7038974" cy="32670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putados.gob.mx/LeyesBiblio/pdf/LIVA.pdf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mat.sat.gob.mx/consulta/09788/emprendedor,-conoce-los-regimenes-fiscales-de-las-personas-fisicas" TargetMode="External"/><Relationship Id="rId1" Type="http://schemas.openxmlformats.org/officeDocument/2006/relationships/hyperlink" Target="https://www.sat.gob.mx/portal/public/personas-fisicas/pf-actividades-empresariales-y-profesionales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s://www.conseri.mx/" TargetMode="External"/><Relationship Id="rId4" Type="http://schemas.openxmlformats.org/officeDocument/2006/relationships/hyperlink" Target="https://www.diputados.gob.mx/LeyesBiblio/ref/lisr.ht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putados.gob.mx/LeyesBiblio/pdf/LIVA.pdf" TargetMode="External"/><Relationship Id="rId2" Type="http://schemas.openxmlformats.org/officeDocument/2006/relationships/hyperlink" Target="https://wwwmat.sat.gob.mx/consulta/09788/emprendedor,-conoce-los-regimenes-fiscales-de-las-personas-fisicas" TargetMode="External"/><Relationship Id="rId1" Type="http://schemas.openxmlformats.org/officeDocument/2006/relationships/hyperlink" Target="https://www.sat.gob.mx/portal/public/personas-fisicas/pf-actividades-empresariales-y-profesionales" TargetMode="External"/><Relationship Id="rId6" Type="http://schemas.openxmlformats.org/officeDocument/2006/relationships/comments" Target="../comments3.xml"/><Relationship Id="rId5" Type="http://schemas.openxmlformats.org/officeDocument/2006/relationships/vmlDrawing" Target="../drawings/vmlDrawing3.vml"/><Relationship Id="rId4" Type="http://schemas.openxmlformats.org/officeDocument/2006/relationships/hyperlink" Target="https://www.diputados.gob.mx/LeyesBiblio/ref/lisr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7"/>
  <sheetViews>
    <sheetView showGridLines="0" tabSelected="1" workbookViewId="0">
      <selection sqref="A1:K1"/>
    </sheetView>
  </sheetViews>
  <sheetFormatPr baseColWidth="10" defaultColWidth="8.7109375" defaultRowHeight="15" x14ac:dyDescent="0.25"/>
  <cols>
    <col min="1" max="1" width="24" customWidth="1"/>
    <col min="2" max="2" width="52" customWidth="1"/>
    <col min="3" max="3" width="42" customWidth="1"/>
    <col min="4" max="11" width="15" customWidth="1"/>
  </cols>
  <sheetData>
    <row r="1" spans="1:11" ht="27.95" customHeight="1" x14ac:dyDescent="0.25">
      <c r="A1" s="30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27.95" customHeight="1" x14ac:dyDescent="0.25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x14ac:dyDescent="0.25">
      <c r="A4" s="2" t="s">
        <v>2</v>
      </c>
      <c r="B4" s="3" t="s">
        <v>3</v>
      </c>
      <c r="C4" s="1"/>
      <c r="D4" s="4" t="s">
        <v>4</v>
      </c>
      <c r="E4" s="1"/>
      <c r="F4" s="5" t="s">
        <v>5</v>
      </c>
      <c r="G4" s="1"/>
      <c r="H4" s="6" t="s">
        <v>6</v>
      </c>
      <c r="I4" s="1"/>
      <c r="J4" s="1"/>
      <c r="K4" s="1"/>
    </row>
    <row r="5" spans="1:11" ht="1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42" customHeight="1" x14ac:dyDescent="0.25">
      <c r="A6" s="32" t="s">
        <v>7</v>
      </c>
      <c r="B6" s="28"/>
      <c r="C6" s="28"/>
      <c r="D6" s="28"/>
      <c r="E6" s="28"/>
      <c r="F6" s="28"/>
      <c r="G6" s="28"/>
      <c r="H6" s="28"/>
      <c r="I6" s="28"/>
      <c r="J6" s="28"/>
      <c r="K6" s="28"/>
    </row>
    <row r="7" spans="1:11" ht="18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0.100000000000001" customHeight="1" x14ac:dyDescent="0.25">
      <c r="A8" s="29" t="s">
        <v>8</v>
      </c>
      <c r="B8" s="28"/>
      <c r="C8" s="28"/>
      <c r="D8" s="28"/>
      <c r="E8" s="28"/>
      <c r="F8" s="28"/>
      <c r="G8" s="1"/>
      <c r="H8" s="1"/>
      <c r="I8" s="1"/>
      <c r="J8" s="1"/>
      <c r="K8" s="1"/>
    </row>
    <row r="9" spans="1:11" ht="18" customHeight="1" x14ac:dyDescent="0.25">
      <c r="A9" s="7" t="s">
        <v>9</v>
      </c>
      <c r="B9" s="7" t="s">
        <v>10</v>
      </c>
      <c r="C9" s="7" t="s">
        <v>11</v>
      </c>
      <c r="D9" s="1"/>
      <c r="E9" s="1"/>
      <c r="F9" s="1"/>
      <c r="G9" s="1"/>
      <c r="H9" s="1"/>
      <c r="I9" s="1"/>
      <c r="J9" s="1"/>
      <c r="K9" s="1"/>
    </row>
    <row r="10" spans="1:11" s="38" customFormat="1" ht="30" x14ac:dyDescent="0.25">
      <c r="A10" s="36" t="s">
        <v>12</v>
      </c>
      <c r="B10" s="37" t="s">
        <v>13</v>
      </c>
      <c r="C10" s="37" t="s">
        <v>14</v>
      </c>
      <c r="D10" s="35"/>
      <c r="E10" s="35"/>
      <c r="F10" s="35"/>
      <c r="G10" s="35"/>
      <c r="H10" s="35"/>
      <c r="I10" s="35"/>
      <c r="J10" s="35"/>
      <c r="K10" s="35"/>
    </row>
    <row r="11" spans="1:11" s="38" customFormat="1" ht="30" x14ac:dyDescent="0.25">
      <c r="A11" s="36" t="s">
        <v>15</v>
      </c>
      <c r="B11" s="37" t="s">
        <v>16</v>
      </c>
      <c r="C11" s="37" t="s">
        <v>17</v>
      </c>
      <c r="D11" s="35"/>
      <c r="E11" s="35"/>
      <c r="F11" s="35"/>
      <c r="G11" s="35"/>
      <c r="H11" s="35"/>
      <c r="I11" s="35"/>
      <c r="J11" s="35"/>
      <c r="K11" s="35"/>
    </row>
    <row r="12" spans="1:11" s="38" customFormat="1" x14ac:dyDescent="0.25">
      <c r="A12" s="36" t="s">
        <v>18</v>
      </c>
      <c r="B12" s="37" t="s">
        <v>19</v>
      </c>
      <c r="C12" s="37" t="s">
        <v>20</v>
      </c>
      <c r="D12" s="35"/>
      <c r="E12" s="35"/>
      <c r="F12" s="35"/>
      <c r="G12" s="35"/>
      <c r="H12" s="35"/>
      <c r="I12" s="35"/>
      <c r="J12" s="35"/>
      <c r="K12" s="35"/>
    </row>
    <row r="13" spans="1:11" s="38" customFormat="1" x14ac:dyDescent="0.25">
      <c r="A13" s="36" t="s">
        <v>21</v>
      </c>
      <c r="B13" s="37" t="s">
        <v>22</v>
      </c>
      <c r="C13" s="37" t="s">
        <v>23</v>
      </c>
      <c r="D13" s="35"/>
      <c r="E13" s="35"/>
      <c r="F13" s="35"/>
      <c r="G13" s="35"/>
      <c r="H13" s="35"/>
      <c r="I13" s="35"/>
      <c r="J13" s="35"/>
      <c r="K13" s="35"/>
    </row>
    <row r="14" spans="1:11" s="38" customFormat="1" x14ac:dyDescent="0.25">
      <c r="A14" s="36" t="s">
        <v>24</v>
      </c>
      <c r="B14" s="37" t="s">
        <v>25</v>
      </c>
      <c r="C14" s="37" t="s">
        <v>26</v>
      </c>
      <c r="D14" s="35"/>
      <c r="E14" s="35"/>
      <c r="F14" s="35"/>
      <c r="G14" s="35"/>
      <c r="H14" s="35"/>
      <c r="I14" s="35"/>
      <c r="J14" s="35"/>
      <c r="K14" s="35"/>
    </row>
    <row r="15" spans="1:11" s="38" customFormat="1" x14ac:dyDescent="0.25">
      <c r="A15" s="36" t="s">
        <v>27</v>
      </c>
      <c r="B15" s="37" t="s">
        <v>28</v>
      </c>
      <c r="C15" s="37" t="s">
        <v>29</v>
      </c>
      <c r="D15" s="35"/>
      <c r="E15" s="35"/>
      <c r="F15" s="35"/>
      <c r="G15" s="35"/>
      <c r="H15" s="35"/>
      <c r="I15" s="35"/>
      <c r="J15" s="35"/>
      <c r="K15" s="35"/>
    </row>
    <row r="16" spans="1:11" s="38" customFormat="1" x14ac:dyDescent="0.25">
      <c r="A16" s="36" t="s">
        <v>30</v>
      </c>
      <c r="B16" s="37" t="s">
        <v>31</v>
      </c>
      <c r="C16" s="37" t="s">
        <v>32</v>
      </c>
      <c r="D16" s="35"/>
      <c r="E16" s="35"/>
      <c r="F16" s="35"/>
      <c r="G16" s="35"/>
      <c r="H16" s="35"/>
      <c r="I16" s="35"/>
      <c r="J16" s="35"/>
      <c r="K16" s="35"/>
    </row>
    <row r="17" spans="1:11" ht="18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8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31" t="s">
        <v>33</v>
      </c>
      <c r="B19" s="28"/>
      <c r="C19" s="28"/>
      <c r="D19" s="28"/>
      <c r="E19" s="28"/>
      <c r="F19" s="28"/>
      <c r="G19" s="1"/>
      <c r="H19" s="1"/>
      <c r="I19" s="1"/>
      <c r="J19" s="1"/>
      <c r="K19" s="1"/>
    </row>
    <row r="20" spans="1:11" ht="45" x14ac:dyDescent="0.25">
      <c r="A20" s="8" t="s">
        <v>34</v>
      </c>
      <c r="B20" s="9" t="s">
        <v>35</v>
      </c>
      <c r="C20" s="1"/>
      <c r="D20" s="1"/>
      <c r="E20" s="1"/>
      <c r="F20" s="1"/>
      <c r="G20" s="1"/>
      <c r="H20" s="1"/>
      <c r="I20" s="1"/>
      <c r="J20" s="1"/>
      <c r="K20" s="1"/>
    </row>
    <row r="21" spans="1:11" ht="45" x14ac:dyDescent="0.25">
      <c r="A21" s="8" t="s">
        <v>36</v>
      </c>
      <c r="B21" s="9" t="s">
        <v>37</v>
      </c>
      <c r="C21" s="1"/>
      <c r="D21" s="1"/>
      <c r="E21" s="1"/>
      <c r="F21" s="1"/>
      <c r="G21" s="1"/>
      <c r="H21" s="1"/>
      <c r="I21" s="1"/>
      <c r="J21" s="1"/>
      <c r="K21" s="1"/>
    </row>
    <row r="22" spans="1:11" ht="30" x14ac:dyDescent="0.25">
      <c r="A22" s="8" t="s">
        <v>38</v>
      </c>
      <c r="B22" s="9" t="s">
        <v>39</v>
      </c>
      <c r="C22" s="1"/>
      <c r="D22" s="1"/>
      <c r="E22" s="1"/>
      <c r="F22" s="1"/>
      <c r="G22" s="1"/>
      <c r="H22" s="1"/>
      <c r="I22" s="1"/>
      <c r="J22" s="1"/>
      <c r="K22" s="1"/>
    </row>
    <row r="23" spans="1:11" ht="30" x14ac:dyDescent="0.25">
      <c r="A23" s="8" t="s">
        <v>40</v>
      </c>
      <c r="B23" s="9" t="s">
        <v>41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8" t="s">
        <v>280</v>
      </c>
      <c r="B24" s="9" t="s">
        <v>281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33" t="s">
        <v>42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spans="1:11" ht="18" customHeight="1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</row>
  </sheetData>
  <mergeCells count="6">
    <mergeCell ref="A1:K1"/>
    <mergeCell ref="A6:K6"/>
    <mergeCell ref="A19:F19"/>
    <mergeCell ref="A26:K27"/>
    <mergeCell ref="A2:K2"/>
    <mergeCell ref="A8:F8"/>
  </mergeCells>
  <hyperlinks>
    <hyperlink ref="B20" r:id="rId1" xr:uid="{00000000-0004-0000-0000-000000000000}"/>
    <hyperlink ref="B21" r:id="rId2" xr:uid="{00000000-0004-0000-0000-000001000000}"/>
    <hyperlink ref="B22" r:id="rId3" xr:uid="{00000000-0004-0000-0000-000002000000}"/>
    <hyperlink ref="B23" r:id="rId4" xr:uid="{00000000-0004-0000-0000-000003000000}"/>
    <hyperlink ref="B24" r:id="rId5" xr:uid="{14645D38-010A-40D4-9EAF-51A7E6DBD367}"/>
  </hyperlinks>
  <pageMargins left="0.75" right="0.75" top="1" bottom="1" header="0.5" footer="0.5"/>
  <pageSetup fitToHeight="0" orientation="landscape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1"/>
  <sheetViews>
    <sheetView showGridLines="0" workbookViewId="0">
      <pane ySplit="5" topLeftCell="A6" activePane="bottomLeft" state="frozen"/>
      <selection pane="bottomLeft" activeCell="A6" sqref="A6:D6"/>
    </sheetView>
  </sheetViews>
  <sheetFormatPr baseColWidth="10" defaultColWidth="8.7109375" defaultRowHeight="15" x14ac:dyDescent="0.25"/>
  <cols>
    <col min="1" max="1" width="28" customWidth="1"/>
    <col min="2" max="2" width="55.7109375" customWidth="1"/>
    <col min="3" max="3" width="18" customWidth="1"/>
    <col min="4" max="4" width="40" customWidth="1"/>
    <col min="5" max="11" width="15" customWidth="1"/>
  </cols>
  <sheetData>
    <row r="1" spans="1:11" ht="27.95" customHeight="1" x14ac:dyDescent="0.25">
      <c r="A1" s="30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27.95" customHeight="1" x14ac:dyDescent="0.25">
      <c r="A2" s="27" t="s">
        <v>44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x14ac:dyDescent="0.25">
      <c r="A4" s="2" t="s">
        <v>2</v>
      </c>
      <c r="B4" s="3" t="s">
        <v>3</v>
      </c>
      <c r="C4" s="1"/>
      <c r="D4" s="4" t="s">
        <v>4</v>
      </c>
      <c r="E4" s="1"/>
      <c r="F4" s="5" t="s">
        <v>5</v>
      </c>
      <c r="G4" s="1"/>
      <c r="H4" s="6" t="s">
        <v>6</v>
      </c>
      <c r="I4" s="1"/>
      <c r="J4" s="1"/>
      <c r="K4" s="1"/>
    </row>
    <row r="5" spans="1:11" ht="1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100000000000001" customHeight="1" x14ac:dyDescent="0.25">
      <c r="A6" s="34" t="s">
        <v>45</v>
      </c>
      <c r="B6" s="28"/>
      <c r="C6" s="28"/>
      <c r="D6" s="28"/>
      <c r="E6" s="1"/>
      <c r="F6" s="1"/>
      <c r="G6" s="1"/>
      <c r="H6" s="1"/>
      <c r="I6" s="1"/>
      <c r="J6" s="1"/>
      <c r="K6" s="1"/>
    </row>
    <row r="7" spans="1:11" x14ac:dyDescent="0.25">
      <c r="A7" s="10" t="s">
        <v>46</v>
      </c>
      <c r="B7" s="10" t="s">
        <v>47</v>
      </c>
      <c r="C7" s="10" t="s">
        <v>48</v>
      </c>
      <c r="D7" s="10" t="s">
        <v>49</v>
      </c>
      <c r="E7" s="1"/>
      <c r="F7" s="1"/>
      <c r="G7" s="1"/>
      <c r="H7" s="1"/>
      <c r="I7" s="1"/>
      <c r="J7" s="1"/>
      <c r="K7" s="1"/>
    </row>
    <row r="8" spans="1:11" x14ac:dyDescent="0.25">
      <c r="A8" s="2" t="s">
        <v>50</v>
      </c>
      <c r="B8" s="11" t="s">
        <v>282</v>
      </c>
      <c r="C8" s="11" t="s">
        <v>51</v>
      </c>
      <c r="D8" s="11"/>
      <c r="E8" s="1"/>
      <c r="F8" s="1"/>
      <c r="G8" s="1"/>
      <c r="H8" s="1"/>
      <c r="I8" s="1"/>
      <c r="J8" s="1"/>
      <c r="K8" s="1"/>
    </row>
    <row r="9" spans="1:11" x14ac:dyDescent="0.25">
      <c r="A9" s="2" t="s">
        <v>52</v>
      </c>
      <c r="B9" s="11" t="s">
        <v>53</v>
      </c>
      <c r="C9" s="11" t="s">
        <v>51</v>
      </c>
      <c r="D9" s="11"/>
      <c r="E9" s="1"/>
      <c r="F9" s="1"/>
      <c r="G9" s="1"/>
      <c r="H9" s="1"/>
      <c r="I9" s="1"/>
      <c r="J9" s="1"/>
      <c r="K9" s="1"/>
    </row>
    <row r="10" spans="1:11" ht="30" x14ac:dyDescent="0.25">
      <c r="A10" s="2" t="s">
        <v>54</v>
      </c>
      <c r="B10" s="11" t="s">
        <v>55</v>
      </c>
      <c r="C10" s="11" t="s">
        <v>51</v>
      </c>
      <c r="D10" s="11"/>
      <c r="E10" s="1"/>
      <c r="F10" s="1"/>
      <c r="G10" s="1"/>
      <c r="H10" s="1"/>
      <c r="I10" s="1"/>
      <c r="J10" s="1"/>
      <c r="K10" s="1"/>
    </row>
    <row r="11" spans="1:11" x14ac:dyDescent="0.25">
      <c r="A11" s="2" t="s">
        <v>56</v>
      </c>
      <c r="B11" s="11" t="s">
        <v>57</v>
      </c>
      <c r="C11" s="11" t="s">
        <v>58</v>
      </c>
      <c r="D11" s="11" t="s">
        <v>59</v>
      </c>
      <c r="E11" s="1"/>
      <c r="F11" s="1"/>
      <c r="G11" s="1"/>
      <c r="H11" s="1"/>
      <c r="I11" s="1"/>
      <c r="J11" s="1"/>
      <c r="K11" s="1"/>
    </row>
    <row r="12" spans="1:11" ht="30" x14ac:dyDescent="0.25">
      <c r="A12" s="2" t="s">
        <v>60</v>
      </c>
      <c r="B12" s="11" t="s">
        <v>61</v>
      </c>
      <c r="C12" s="11" t="s">
        <v>51</v>
      </c>
      <c r="D12" s="11"/>
      <c r="E12" s="1"/>
      <c r="F12" s="1"/>
      <c r="G12" s="1"/>
      <c r="H12" s="1"/>
      <c r="I12" s="1"/>
      <c r="J12" s="1"/>
      <c r="K12" s="1"/>
    </row>
    <row r="13" spans="1:11" x14ac:dyDescent="0.25">
      <c r="A13" s="2" t="s">
        <v>62</v>
      </c>
      <c r="B13" s="11" t="s">
        <v>283</v>
      </c>
      <c r="C13" s="11" t="s">
        <v>51</v>
      </c>
      <c r="D13" s="1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8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100000000000001" customHeight="1" x14ac:dyDescent="0.25">
      <c r="A16" s="29" t="s">
        <v>63</v>
      </c>
      <c r="B16" s="28"/>
      <c r="C16" s="28"/>
      <c r="D16" s="28"/>
      <c r="E16" s="28"/>
      <c r="F16" s="28"/>
      <c r="G16" s="1"/>
      <c r="H16" s="1"/>
      <c r="I16" s="1"/>
      <c r="J16" s="1"/>
      <c r="K16" s="1"/>
    </row>
    <row r="17" spans="1:11" ht="18" customHeight="1" x14ac:dyDescent="0.25">
      <c r="A17" s="7" t="s">
        <v>64</v>
      </c>
      <c r="B17" s="7" t="s">
        <v>65</v>
      </c>
      <c r="C17" s="7" t="s">
        <v>66</v>
      </c>
      <c r="D17" s="7" t="s">
        <v>67</v>
      </c>
      <c r="E17" s="7" t="s">
        <v>68</v>
      </c>
      <c r="F17" s="7" t="s">
        <v>69</v>
      </c>
      <c r="G17" s="1"/>
      <c r="H17" s="1"/>
      <c r="I17" s="1"/>
      <c r="J17" s="1"/>
      <c r="K17" s="1"/>
    </row>
    <row r="18" spans="1:11" ht="33.75" customHeight="1" x14ac:dyDescent="0.25">
      <c r="A18" s="2" t="s">
        <v>70</v>
      </c>
      <c r="B18" s="1" t="s">
        <v>71</v>
      </c>
      <c r="C18" s="11" t="s">
        <v>72</v>
      </c>
      <c r="D18" s="12">
        <f t="shared" ref="D18:D25" si="0">IF(C18="Sí",1,IF(C18="Parcial",0.5,0))</f>
        <v>1</v>
      </c>
      <c r="E18" s="13" t="str">
        <f t="shared" ref="E18:E25" si="1">IF(D18=1,"Listo",IF(D18=0.5,"Revisar","Prioridad"))</f>
        <v>Listo</v>
      </c>
      <c r="F18" s="13" t="str">
        <f t="shared" ref="F18:F25" si="2">IF(D18=1,"Mantener",IF(D18=0.5,"Ajustar","Resolver antes de lanzar"))</f>
        <v>Mantener</v>
      </c>
      <c r="G18" s="1"/>
      <c r="H18" s="1"/>
      <c r="I18" s="1"/>
      <c r="J18" s="1"/>
      <c r="K18" s="1"/>
    </row>
    <row r="19" spans="1:11" ht="24" customHeight="1" x14ac:dyDescent="0.25">
      <c r="A19" s="2" t="s">
        <v>73</v>
      </c>
      <c r="B19" s="1" t="s">
        <v>74</v>
      </c>
      <c r="C19" s="11" t="s">
        <v>72</v>
      </c>
      <c r="D19" s="12">
        <f t="shared" si="0"/>
        <v>1</v>
      </c>
      <c r="E19" s="13" t="str">
        <f t="shared" si="1"/>
        <v>Listo</v>
      </c>
      <c r="F19" s="13" t="str">
        <f t="shared" si="2"/>
        <v>Mantener</v>
      </c>
      <c r="G19" s="1"/>
      <c r="H19" s="1"/>
      <c r="I19" s="1"/>
      <c r="J19" s="1"/>
      <c r="K19" s="1"/>
    </row>
    <row r="20" spans="1:11" ht="30" x14ac:dyDescent="0.25">
      <c r="A20" s="2" t="s">
        <v>75</v>
      </c>
      <c r="B20" s="1" t="s">
        <v>76</v>
      </c>
      <c r="C20" s="11" t="s">
        <v>72</v>
      </c>
      <c r="D20" s="12">
        <f t="shared" si="0"/>
        <v>1</v>
      </c>
      <c r="E20" s="13" t="str">
        <f t="shared" si="1"/>
        <v>Listo</v>
      </c>
      <c r="F20" s="13" t="str">
        <f t="shared" si="2"/>
        <v>Mantener</v>
      </c>
      <c r="G20" s="1"/>
      <c r="H20" s="1"/>
      <c r="I20" s="1"/>
      <c r="J20" s="1"/>
      <c r="K20" s="1"/>
    </row>
    <row r="21" spans="1:11" ht="30" x14ac:dyDescent="0.25">
      <c r="A21" s="2" t="s">
        <v>78</v>
      </c>
      <c r="B21" s="1" t="s">
        <v>79</v>
      </c>
      <c r="C21" s="11" t="s">
        <v>72</v>
      </c>
      <c r="D21" s="12">
        <f t="shared" si="0"/>
        <v>1</v>
      </c>
      <c r="E21" s="13" t="str">
        <f t="shared" si="1"/>
        <v>Listo</v>
      </c>
      <c r="F21" s="13" t="str">
        <f t="shared" si="2"/>
        <v>Mantener</v>
      </c>
      <c r="G21" s="1"/>
      <c r="H21" s="1"/>
      <c r="I21" s="1"/>
      <c r="J21" s="1"/>
      <c r="K21" s="1"/>
    </row>
    <row r="22" spans="1:11" ht="30" x14ac:dyDescent="0.25">
      <c r="A22" s="2" t="s">
        <v>80</v>
      </c>
      <c r="B22" s="1" t="s">
        <v>81</v>
      </c>
      <c r="C22" s="11" t="s">
        <v>86</v>
      </c>
      <c r="D22" s="12">
        <f t="shared" si="0"/>
        <v>0.5</v>
      </c>
      <c r="E22" s="13" t="str">
        <f t="shared" si="1"/>
        <v>Revisar</v>
      </c>
      <c r="F22" s="13" t="str">
        <f t="shared" si="2"/>
        <v>Ajustar</v>
      </c>
      <c r="G22" s="1"/>
      <c r="H22" s="1"/>
      <c r="I22" s="1"/>
      <c r="J22" s="1"/>
      <c r="K22" s="1"/>
    </row>
    <row r="23" spans="1:11" ht="30" x14ac:dyDescent="0.25">
      <c r="A23" s="2" t="s">
        <v>82</v>
      </c>
      <c r="B23" s="1" t="s">
        <v>83</v>
      </c>
      <c r="C23" s="11" t="s">
        <v>72</v>
      </c>
      <c r="D23" s="12">
        <f t="shared" si="0"/>
        <v>1</v>
      </c>
      <c r="E23" s="13" t="str">
        <f t="shared" si="1"/>
        <v>Listo</v>
      </c>
      <c r="F23" s="13" t="str">
        <f t="shared" si="2"/>
        <v>Mantener</v>
      </c>
      <c r="G23" s="1"/>
      <c r="H23" s="1"/>
      <c r="I23" s="1"/>
      <c r="J23" s="1"/>
      <c r="K23" s="1"/>
    </row>
    <row r="24" spans="1:11" x14ac:dyDescent="0.25">
      <c r="A24" s="2" t="s">
        <v>84</v>
      </c>
      <c r="B24" s="1" t="s">
        <v>85</v>
      </c>
      <c r="C24" s="11" t="s">
        <v>77</v>
      </c>
      <c r="D24" s="12">
        <f t="shared" si="0"/>
        <v>0</v>
      </c>
      <c r="E24" s="13" t="str">
        <f t="shared" si="1"/>
        <v>Prioridad</v>
      </c>
      <c r="F24" s="13" t="str">
        <f t="shared" si="2"/>
        <v>Resolver antes de lanzar</v>
      </c>
      <c r="G24" s="1"/>
      <c r="H24" s="1"/>
      <c r="I24" s="1"/>
      <c r="J24" s="1"/>
      <c r="K24" s="1"/>
    </row>
    <row r="25" spans="1:11" ht="23.25" customHeight="1" x14ac:dyDescent="0.25">
      <c r="A25" s="2" t="s">
        <v>87</v>
      </c>
      <c r="B25" s="1" t="s">
        <v>88</v>
      </c>
      <c r="C25" s="11" t="s">
        <v>86</v>
      </c>
      <c r="D25" s="12">
        <f t="shared" si="0"/>
        <v>0.5</v>
      </c>
      <c r="E25" s="13" t="str">
        <f t="shared" si="1"/>
        <v>Revisar</v>
      </c>
      <c r="F25" s="13" t="str">
        <f t="shared" si="2"/>
        <v>Ajustar</v>
      </c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31" t="s">
        <v>89</v>
      </c>
      <c r="B28" s="28"/>
      <c r="C28" s="28"/>
      <c r="D28" s="28"/>
      <c r="E28" s="28"/>
      <c r="F28" s="28"/>
      <c r="G28" s="1"/>
      <c r="H28" s="1"/>
      <c r="I28" s="1"/>
      <c r="J28" s="1"/>
      <c r="K28" s="1"/>
    </row>
    <row r="29" spans="1:11" ht="18" customHeight="1" x14ac:dyDescent="0.25">
      <c r="A29" s="1" t="s">
        <v>90</v>
      </c>
      <c r="B29" s="12">
        <f>SUM(D18:D25)</f>
        <v>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ht="18" customHeight="1" x14ac:dyDescent="0.25">
      <c r="A30" s="1" t="s">
        <v>91</v>
      </c>
      <c r="B30" s="14">
        <f>B29/COUNTA(A18:A25)</f>
        <v>0.75</v>
      </c>
      <c r="C30" s="1"/>
      <c r="D30" s="1"/>
      <c r="E30" s="1"/>
      <c r="F30" s="1"/>
      <c r="G30" s="1"/>
      <c r="H30" s="1"/>
      <c r="I30" s="1"/>
      <c r="J30" s="1"/>
      <c r="K30" s="1"/>
    </row>
    <row r="31" spans="1:11" ht="18" customHeight="1" x14ac:dyDescent="0.25">
      <c r="A31" s="1" t="s">
        <v>92</v>
      </c>
      <c r="B31" s="15" t="str">
        <f>IF(B30&gt;=0.8,"Listo para validar",IF(B30&gt;=0.5,"Validar con ajustes","No lanzar todavía"))</f>
        <v>Validar con ajustes</v>
      </c>
      <c r="C31" s="1"/>
      <c r="D31" s="1"/>
      <c r="E31" s="1"/>
      <c r="F31" s="1"/>
      <c r="G31" s="1"/>
      <c r="H31" s="1"/>
      <c r="I31" s="1"/>
      <c r="J31" s="1"/>
      <c r="K31" s="1"/>
    </row>
  </sheetData>
  <mergeCells count="5">
    <mergeCell ref="A16:F16"/>
    <mergeCell ref="A28:F28"/>
    <mergeCell ref="A6:D6"/>
    <mergeCell ref="A2:K2"/>
    <mergeCell ref="A1:K1"/>
  </mergeCells>
  <conditionalFormatting sqref="B30">
    <cfRule type="expression" dxfId="0" priority="1">
      <formula>B30&lt;0.5</formula>
    </cfRule>
  </conditionalFormatting>
  <dataValidations count="1">
    <dataValidation type="list" sqref="C18 C19 C20 C21 C22 C23 C24 C25" xr:uid="{00000000-0002-0000-0100-000000000000}">
      <formula1>"Sí,No,Parcial"</formula1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0"/>
  <sheetViews>
    <sheetView showGridLines="0" workbookViewId="0">
      <pane ySplit="5" topLeftCell="A23" activePane="bottomLeft" state="frozen"/>
      <selection pane="bottomLeft" activeCell="B41" sqref="B41"/>
    </sheetView>
  </sheetViews>
  <sheetFormatPr baseColWidth="10" defaultColWidth="8.7109375" defaultRowHeight="15" x14ac:dyDescent="0.25"/>
  <cols>
    <col min="1" max="1" width="30" customWidth="1"/>
    <col min="2" max="3" width="16" customWidth="1"/>
    <col min="4" max="4" width="24.85546875" customWidth="1"/>
    <col min="5" max="5" width="27.140625" customWidth="1"/>
    <col min="6" max="6" width="16" customWidth="1"/>
    <col min="7" max="7" width="18" customWidth="1"/>
    <col min="8" max="8" width="28" customWidth="1"/>
    <col min="9" max="11" width="15" customWidth="1"/>
  </cols>
  <sheetData>
    <row r="1" spans="1:11" ht="27.95" customHeight="1" x14ac:dyDescent="0.25">
      <c r="A1" s="30" t="s">
        <v>93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27.95" customHeight="1" x14ac:dyDescent="0.25">
      <c r="A2" s="27" t="s">
        <v>94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x14ac:dyDescent="0.25">
      <c r="A4" s="2" t="s">
        <v>2</v>
      </c>
      <c r="B4" s="3" t="s">
        <v>3</v>
      </c>
      <c r="C4" s="1"/>
      <c r="D4" s="4" t="s">
        <v>4</v>
      </c>
      <c r="E4" s="1"/>
      <c r="F4" s="5" t="s">
        <v>5</v>
      </c>
      <c r="G4" s="1"/>
      <c r="H4" s="6" t="s">
        <v>6</v>
      </c>
      <c r="I4" s="1"/>
      <c r="J4" s="1"/>
      <c r="K4" s="1"/>
    </row>
    <row r="5" spans="1:11" ht="1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100000000000001" customHeight="1" x14ac:dyDescent="0.25">
      <c r="A6" s="34" t="s">
        <v>95</v>
      </c>
      <c r="B6" s="28"/>
      <c r="C6" s="28"/>
      <c r="D6" s="28"/>
      <c r="E6" s="1"/>
      <c r="F6" s="1"/>
      <c r="G6" s="1"/>
      <c r="H6" s="1"/>
      <c r="I6" s="1"/>
      <c r="J6" s="1"/>
      <c r="K6" s="1"/>
    </row>
    <row r="7" spans="1:11" x14ac:dyDescent="0.25">
      <c r="A7" s="2" t="s">
        <v>96</v>
      </c>
      <c r="B7" s="39">
        <v>3</v>
      </c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2" t="s">
        <v>97</v>
      </c>
      <c r="B8" s="16">
        <v>18000</v>
      </c>
      <c r="C8" s="1"/>
      <c r="D8" s="1"/>
      <c r="E8" s="1"/>
      <c r="F8" s="1"/>
      <c r="G8" s="1"/>
      <c r="H8" s="1"/>
      <c r="I8" s="1"/>
      <c r="J8" s="1"/>
      <c r="K8" s="1"/>
    </row>
    <row r="9" spans="1:11" ht="30" x14ac:dyDescent="0.25">
      <c r="A9" s="2" t="s">
        <v>98</v>
      </c>
      <c r="B9" s="17">
        <v>0.2</v>
      </c>
      <c r="C9" s="1"/>
      <c r="D9" s="1"/>
      <c r="E9" s="1"/>
      <c r="F9" s="1"/>
      <c r="G9" s="1"/>
      <c r="H9" s="1"/>
      <c r="I9" s="1"/>
      <c r="J9" s="1"/>
      <c r="K9" s="1"/>
    </row>
    <row r="10" spans="1:11" ht="18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8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100000000000001" customHeight="1" x14ac:dyDescent="0.25">
      <c r="A12" s="29" t="s">
        <v>99</v>
      </c>
      <c r="B12" s="28"/>
      <c r="C12" s="28"/>
      <c r="D12" s="28"/>
      <c r="E12" s="28"/>
      <c r="F12" s="28"/>
      <c r="G12" s="1"/>
      <c r="H12" s="1"/>
      <c r="I12" s="1"/>
      <c r="J12" s="1"/>
      <c r="K12" s="1"/>
    </row>
    <row r="13" spans="1:11" x14ac:dyDescent="0.25">
      <c r="A13" s="7" t="s">
        <v>100</v>
      </c>
      <c r="B13" s="7" t="s">
        <v>101</v>
      </c>
      <c r="C13" s="7" t="s">
        <v>102</v>
      </c>
      <c r="D13" s="7" t="s">
        <v>103</v>
      </c>
      <c r="E13" s="7" t="s">
        <v>104</v>
      </c>
      <c r="F13" s="7" t="s">
        <v>105</v>
      </c>
      <c r="G13" s="1"/>
      <c r="H13" s="1"/>
      <c r="I13" s="1"/>
      <c r="J13" s="1"/>
      <c r="K13" s="1"/>
    </row>
    <row r="14" spans="1:11" ht="30" x14ac:dyDescent="0.25">
      <c r="A14" s="11" t="s">
        <v>106</v>
      </c>
      <c r="B14" s="11" t="s">
        <v>72</v>
      </c>
      <c r="C14" s="16">
        <v>18000</v>
      </c>
      <c r="D14" s="11" t="s">
        <v>107</v>
      </c>
      <c r="E14" s="11" t="s">
        <v>108</v>
      </c>
      <c r="F14" s="11" t="s">
        <v>109</v>
      </c>
      <c r="G14" s="1"/>
      <c r="H14" s="1"/>
      <c r="I14" s="1"/>
      <c r="J14" s="1"/>
      <c r="K14" s="1"/>
    </row>
    <row r="15" spans="1:11" ht="30" x14ac:dyDescent="0.25">
      <c r="A15" s="11" t="s">
        <v>110</v>
      </c>
      <c r="B15" s="11" t="s">
        <v>72</v>
      </c>
      <c r="C15" s="16">
        <v>4000</v>
      </c>
      <c r="D15" s="11" t="s">
        <v>107</v>
      </c>
      <c r="E15" s="11" t="s">
        <v>111</v>
      </c>
      <c r="F15" s="11" t="s">
        <v>109</v>
      </c>
      <c r="G15" s="1"/>
      <c r="H15" s="1"/>
      <c r="I15" s="1"/>
      <c r="J15" s="1"/>
      <c r="K15" s="1"/>
    </row>
    <row r="16" spans="1:11" ht="30" x14ac:dyDescent="0.25">
      <c r="A16" s="11" t="s">
        <v>112</v>
      </c>
      <c r="B16" s="11" t="s">
        <v>72</v>
      </c>
      <c r="C16" s="16">
        <v>8000</v>
      </c>
      <c r="D16" s="11" t="s">
        <v>113</v>
      </c>
      <c r="E16" s="11" t="s">
        <v>114</v>
      </c>
      <c r="F16" s="11" t="s">
        <v>115</v>
      </c>
      <c r="G16" s="1"/>
      <c r="H16" s="1"/>
      <c r="I16" s="1"/>
      <c r="J16" s="1"/>
      <c r="K16" s="1"/>
    </row>
    <row r="17" spans="1:11" ht="30" x14ac:dyDescent="0.25">
      <c r="A17" s="11" t="s">
        <v>116</v>
      </c>
      <c r="B17" s="11" t="s">
        <v>72</v>
      </c>
      <c r="C17" s="16">
        <v>6000</v>
      </c>
      <c r="D17" s="11" t="s">
        <v>113</v>
      </c>
      <c r="E17" s="11" t="s">
        <v>117</v>
      </c>
      <c r="F17" s="11" t="s">
        <v>109</v>
      </c>
      <c r="G17" s="1"/>
      <c r="H17" s="1"/>
      <c r="I17" s="1"/>
      <c r="J17" s="1"/>
      <c r="K17" s="1"/>
    </row>
    <row r="18" spans="1:11" ht="30" x14ac:dyDescent="0.25">
      <c r="A18" s="11" t="s">
        <v>118</v>
      </c>
      <c r="B18" s="11" t="s">
        <v>72</v>
      </c>
      <c r="C18" s="16">
        <v>5000</v>
      </c>
      <c r="D18" s="11" t="s">
        <v>113</v>
      </c>
      <c r="E18" s="11" t="s">
        <v>119</v>
      </c>
      <c r="F18" s="11" t="s">
        <v>115</v>
      </c>
      <c r="G18" s="1"/>
      <c r="H18" s="1"/>
      <c r="I18" s="1"/>
      <c r="J18" s="1"/>
      <c r="K18" s="1"/>
    </row>
    <row r="19" spans="1:11" ht="30" x14ac:dyDescent="0.25">
      <c r="A19" s="11" t="s">
        <v>120</v>
      </c>
      <c r="B19" s="11" t="s">
        <v>72</v>
      </c>
      <c r="C19" s="16">
        <v>4000</v>
      </c>
      <c r="D19" s="11" t="s">
        <v>121</v>
      </c>
      <c r="E19" s="11" t="s">
        <v>122</v>
      </c>
      <c r="F19" s="11" t="s">
        <v>109</v>
      </c>
      <c r="G19" s="1"/>
      <c r="H19" s="1"/>
      <c r="I19" s="1"/>
      <c r="J19" s="1"/>
      <c r="K19" s="1"/>
    </row>
    <row r="20" spans="1:11" ht="30" x14ac:dyDescent="0.25">
      <c r="A20" s="11" t="s">
        <v>123</v>
      </c>
      <c r="B20" s="11" t="s">
        <v>77</v>
      </c>
      <c r="C20" s="16">
        <v>2000</v>
      </c>
      <c r="D20" s="11" t="s">
        <v>124</v>
      </c>
      <c r="E20" s="11" t="s">
        <v>125</v>
      </c>
      <c r="F20" s="11" t="s">
        <v>126</v>
      </c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8" customHeight="1" x14ac:dyDescent="0.25">
      <c r="A22" s="2" t="s">
        <v>127</v>
      </c>
      <c r="B22" s="1"/>
      <c r="C22" s="18">
        <f>SUM(C14:C20)</f>
        <v>47000</v>
      </c>
      <c r="D22" s="1"/>
      <c r="E22" s="1"/>
      <c r="F22" s="1"/>
      <c r="G22" s="1"/>
      <c r="H22" s="1"/>
      <c r="I22" s="1"/>
      <c r="J22" s="1"/>
      <c r="K22" s="1"/>
    </row>
    <row r="23" spans="1:11" ht="18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8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20.100000000000001" customHeight="1" x14ac:dyDescent="0.25">
      <c r="A25" s="29" t="s">
        <v>128</v>
      </c>
      <c r="B25" s="28"/>
      <c r="C25" s="28"/>
      <c r="D25" s="28"/>
      <c r="E25" s="28"/>
      <c r="F25" s="28"/>
      <c r="G25" s="1"/>
      <c r="H25" s="1"/>
      <c r="I25" s="1"/>
      <c r="J25" s="1"/>
      <c r="K25" s="1"/>
    </row>
    <row r="26" spans="1:11" x14ac:dyDescent="0.25">
      <c r="A26" s="7" t="s">
        <v>100</v>
      </c>
      <c r="B26" s="7" t="s">
        <v>129</v>
      </c>
      <c r="C26" s="7" t="s">
        <v>130</v>
      </c>
      <c r="D26" s="7" t="s">
        <v>49</v>
      </c>
      <c r="E26" s="7" t="s">
        <v>48</v>
      </c>
      <c r="F26" s="7" t="s">
        <v>131</v>
      </c>
      <c r="G26" s="1"/>
      <c r="H26" s="1"/>
      <c r="I26" s="1"/>
      <c r="J26" s="1"/>
      <c r="K26" s="1"/>
    </row>
    <row r="27" spans="1:11" ht="30" x14ac:dyDescent="0.25">
      <c r="A27" s="11" t="s">
        <v>110</v>
      </c>
      <c r="B27" s="16">
        <v>2500</v>
      </c>
      <c r="C27" s="11" t="s">
        <v>86</v>
      </c>
      <c r="D27" s="11" t="s">
        <v>132</v>
      </c>
      <c r="E27" s="11" t="s">
        <v>133</v>
      </c>
      <c r="F27" s="11" t="s">
        <v>134</v>
      </c>
      <c r="G27" s="1"/>
      <c r="H27" s="1"/>
      <c r="I27" s="1"/>
      <c r="J27" s="1"/>
      <c r="K27" s="1"/>
    </row>
    <row r="28" spans="1:11" ht="30" x14ac:dyDescent="0.25">
      <c r="A28" s="11" t="s">
        <v>135</v>
      </c>
      <c r="B28" s="16">
        <v>1500</v>
      </c>
      <c r="C28" s="11" t="s">
        <v>77</v>
      </c>
      <c r="D28" s="11" t="s">
        <v>136</v>
      </c>
      <c r="E28" s="11" t="s">
        <v>133</v>
      </c>
      <c r="F28" s="11" t="s">
        <v>137</v>
      </c>
      <c r="G28" s="1"/>
      <c r="H28" s="1"/>
      <c r="I28" s="1"/>
      <c r="J28" s="1"/>
      <c r="K28" s="1"/>
    </row>
    <row r="29" spans="1:11" ht="45" x14ac:dyDescent="0.25">
      <c r="A29" s="11" t="s">
        <v>138</v>
      </c>
      <c r="B29" s="16">
        <v>3000</v>
      </c>
      <c r="C29" s="11" t="s">
        <v>72</v>
      </c>
      <c r="D29" s="11" t="s">
        <v>139</v>
      </c>
      <c r="E29" s="11" t="s">
        <v>133</v>
      </c>
      <c r="F29" s="11" t="s">
        <v>140</v>
      </c>
      <c r="G29" s="1"/>
      <c r="H29" s="1"/>
      <c r="I29" s="1"/>
      <c r="J29" s="1"/>
      <c r="K29" s="1"/>
    </row>
    <row r="30" spans="1:11" ht="30" x14ac:dyDescent="0.25">
      <c r="A30" s="11" t="s">
        <v>141</v>
      </c>
      <c r="B30" s="16">
        <v>2000</v>
      </c>
      <c r="C30" s="11" t="s">
        <v>86</v>
      </c>
      <c r="D30" s="11" t="s">
        <v>142</v>
      </c>
      <c r="E30" s="11" t="s">
        <v>133</v>
      </c>
      <c r="F30" s="11" t="s">
        <v>143</v>
      </c>
      <c r="G30" s="1"/>
      <c r="H30" s="1"/>
      <c r="I30" s="1"/>
      <c r="J30" s="1"/>
      <c r="K30" s="1"/>
    </row>
    <row r="31" spans="1:11" ht="30" x14ac:dyDescent="0.25">
      <c r="A31" s="11" t="s">
        <v>144</v>
      </c>
      <c r="B31" s="16">
        <v>4000</v>
      </c>
      <c r="C31" s="11" t="s">
        <v>72</v>
      </c>
      <c r="D31" s="11" t="s">
        <v>145</v>
      </c>
      <c r="E31" s="11" t="s">
        <v>146</v>
      </c>
      <c r="F31" s="11" t="s">
        <v>147</v>
      </c>
      <c r="G31" s="1"/>
      <c r="H31" s="1"/>
      <c r="I31" s="1"/>
      <c r="J31" s="1"/>
      <c r="K31" s="1"/>
    </row>
    <row r="32" spans="1:11" ht="30" x14ac:dyDescent="0.25">
      <c r="A32" s="11" t="s">
        <v>148</v>
      </c>
      <c r="B32" s="16">
        <v>2000</v>
      </c>
      <c r="C32" s="11" t="s">
        <v>72</v>
      </c>
      <c r="D32" s="11" t="s">
        <v>149</v>
      </c>
      <c r="E32" s="11" t="s">
        <v>133</v>
      </c>
      <c r="F32" s="11" t="s">
        <v>150</v>
      </c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2" t="s">
        <v>151</v>
      </c>
      <c r="B34" s="18">
        <f>SUM(B27:B32)</f>
        <v>15000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 ht="18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8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20.100000000000001" customHeight="1" x14ac:dyDescent="0.25">
      <c r="A37" s="31" t="s">
        <v>152</v>
      </c>
      <c r="B37" s="28"/>
      <c r="C37" s="28"/>
      <c r="D37" s="28"/>
      <c r="E37" s="28"/>
      <c r="F37" s="1"/>
      <c r="G37" s="1"/>
      <c r="H37" s="1"/>
      <c r="I37" s="1"/>
      <c r="J37" s="1"/>
      <c r="K37" s="1"/>
    </row>
    <row r="38" spans="1:11" ht="18" customHeight="1" x14ac:dyDescent="0.25">
      <c r="A38" s="1" t="s">
        <v>153</v>
      </c>
      <c r="B38" s="19">
        <f>B34+B8</f>
        <v>33000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 ht="18" customHeight="1" x14ac:dyDescent="0.25">
      <c r="A39" s="1" t="s">
        <v>154</v>
      </c>
      <c r="B39" s="19">
        <f>B38*B7</f>
        <v>99000</v>
      </c>
      <c r="C39" s="1"/>
      <c r="D39" s="1"/>
      <c r="E39" s="1"/>
      <c r="F39" s="1"/>
      <c r="G39" s="1"/>
      <c r="H39" s="1"/>
      <c r="I39" s="1"/>
      <c r="J39" s="1"/>
      <c r="K39" s="1"/>
    </row>
    <row r="40" spans="1:11" ht="18" customHeight="1" x14ac:dyDescent="0.25">
      <c r="A40" s="1" t="s">
        <v>155</v>
      </c>
      <c r="B40" s="19">
        <f>C22+B39</f>
        <v>146000</v>
      </c>
      <c r="C40" s="1"/>
      <c r="D40" s="1"/>
      <c r="E40" s="1"/>
      <c r="F40" s="1"/>
      <c r="G40" s="1"/>
      <c r="H40" s="1"/>
      <c r="I40" s="1"/>
      <c r="J40" s="1"/>
      <c r="K40" s="1"/>
    </row>
  </sheetData>
  <mergeCells count="6">
    <mergeCell ref="A6:D6"/>
    <mergeCell ref="A2:K2"/>
    <mergeCell ref="A37:E37"/>
    <mergeCell ref="A12:F12"/>
    <mergeCell ref="A1:K1"/>
    <mergeCell ref="A25:F25"/>
  </mergeCells>
  <dataValidations count="2">
    <dataValidation type="list" sqref="B14 B15 B16 B17 B18 B19 B20" xr:uid="{00000000-0002-0000-0200-000000000000}">
      <formula1>"Sí,No"</formula1>
    </dataValidation>
    <dataValidation type="list" sqref="F14 F15 F16 F17 F18 F19 F20" xr:uid="{00000000-0002-0000-0200-000001000000}">
      <formula1>"Alta,Media,Baja"</formula1>
    </dataValidation>
  </dataValidations>
  <pageMargins left="0.75" right="0.75" top="1" bottom="1" header="0.5" footer="0.5"/>
  <pageSetup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24"/>
  <sheetViews>
    <sheetView showGridLines="0" workbookViewId="0">
      <pane ySplit="5" topLeftCell="A6" activePane="bottomLeft" state="frozen"/>
      <selection pane="bottomLeft" activeCell="A14" sqref="A14"/>
    </sheetView>
  </sheetViews>
  <sheetFormatPr baseColWidth="10" defaultColWidth="8.7109375" defaultRowHeight="15" x14ac:dyDescent="0.25"/>
  <cols>
    <col min="1" max="1" width="28" customWidth="1"/>
    <col min="2" max="4" width="16" customWidth="1"/>
    <col min="5" max="7" width="18" customWidth="1"/>
    <col min="8" max="8" width="26" customWidth="1"/>
    <col min="9" max="11" width="15" customWidth="1"/>
  </cols>
  <sheetData>
    <row r="1" spans="1:11" ht="27.95" customHeight="1" x14ac:dyDescent="0.25">
      <c r="A1" s="30" t="s">
        <v>156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27.95" customHeight="1" x14ac:dyDescent="0.25">
      <c r="A2" s="27" t="s">
        <v>157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x14ac:dyDescent="0.25">
      <c r="A4" s="2" t="s">
        <v>2</v>
      </c>
      <c r="B4" s="3" t="s">
        <v>3</v>
      </c>
      <c r="C4" s="1"/>
      <c r="D4" s="4" t="s">
        <v>4</v>
      </c>
      <c r="E4" s="1"/>
      <c r="F4" s="5" t="s">
        <v>5</v>
      </c>
      <c r="G4" s="1"/>
      <c r="H4" s="6" t="s">
        <v>6</v>
      </c>
      <c r="I4" s="1"/>
      <c r="J4" s="1"/>
      <c r="K4" s="1"/>
    </row>
    <row r="5" spans="1:11" ht="1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100000000000001" customHeight="1" x14ac:dyDescent="0.25">
      <c r="A6" s="34" t="s">
        <v>158</v>
      </c>
      <c r="B6" s="28"/>
      <c r="C6" s="28"/>
      <c r="D6" s="28"/>
      <c r="E6" s="28"/>
      <c r="F6" s="1"/>
      <c r="G6" s="1"/>
      <c r="H6" s="1"/>
      <c r="I6" s="1"/>
      <c r="J6" s="1"/>
      <c r="K6" s="1"/>
    </row>
    <row r="7" spans="1:11" x14ac:dyDescent="0.25">
      <c r="A7" s="1" t="s">
        <v>159</v>
      </c>
      <c r="B7" s="20">
        <f>'Inversión Inicial'!B34</f>
        <v>15000</v>
      </c>
      <c r="C7" s="1"/>
      <c r="D7" s="1"/>
      <c r="E7" s="1"/>
      <c r="F7" s="1"/>
      <c r="G7" s="1"/>
      <c r="H7" s="1"/>
      <c r="I7" s="1"/>
      <c r="J7" s="1"/>
      <c r="K7" s="1"/>
    </row>
    <row r="8" spans="1:11" ht="30" x14ac:dyDescent="0.25">
      <c r="A8" s="1" t="s">
        <v>160</v>
      </c>
      <c r="B8" s="20">
        <f>'Inversión Inicial'!B8</f>
        <v>18000</v>
      </c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 t="s">
        <v>161</v>
      </c>
      <c r="B9" s="16">
        <v>0</v>
      </c>
      <c r="C9" s="1"/>
      <c r="D9" s="1"/>
      <c r="E9" s="1"/>
      <c r="F9" s="1"/>
      <c r="G9" s="1"/>
      <c r="H9" s="1"/>
      <c r="I9" s="1"/>
      <c r="J9" s="1"/>
      <c r="K9" s="1"/>
    </row>
    <row r="10" spans="1:11" ht="18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8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100000000000001" customHeight="1" x14ac:dyDescent="0.25">
      <c r="A12" s="29" t="s">
        <v>162</v>
      </c>
      <c r="B12" s="28"/>
      <c r="C12" s="28"/>
      <c r="D12" s="28"/>
      <c r="E12" s="28"/>
      <c r="F12" s="28"/>
      <c r="G12" s="28"/>
      <c r="H12" s="1"/>
      <c r="I12" s="1"/>
      <c r="J12" s="1"/>
      <c r="K12" s="1"/>
    </row>
    <row r="13" spans="1:11" ht="24" x14ac:dyDescent="0.25">
      <c r="A13" s="7" t="s">
        <v>163</v>
      </c>
      <c r="B13" s="7" t="s">
        <v>164</v>
      </c>
      <c r="C13" s="7" t="s">
        <v>165</v>
      </c>
      <c r="D13" s="7" t="s">
        <v>166</v>
      </c>
      <c r="E13" s="7" t="s">
        <v>167</v>
      </c>
      <c r="F13" s="7" t="s">
        <v>168</v>
      </c>
      <c r="G13" s="7" t="s">
        <v>169</v>
      </c>
      <c r="H13" s="1"/>
      <c r="I13" s="1"/>
      <c r="J13" s="1"/>
      <c r="K13" s="1"/>
    </row>
    <row r="14" spans="1:11" ht="18" customHeight="1" x14ac:dyDescent="0.25">
      <c r="A14" s="41" t="s">
        <v>170</v>
      </c>
      <c r="B14" s="16">
        <v>3000</v>
      </c>
      <c r="C14" s="16">
        <v>1000</v>
      </c>
      <c r="D14" s="19">
        <f>B14-C14</f>
        <v>2000</v>
      </c>
      <c r="E14" s="14">
        <f>IFERROR(D14/B14,0)</f>
        <v>0.66666666666666663</v>
      </c>
      <c r="F14" s="21">
        <f>IFERROR(ROUNDUP($B$7/D14,0),0)</f>
        <v>8</v>
      </c>
      <c r="G14" s="21">
        <f>IFERROR(ROUNDUP(($B$7+$B$8+$B$9)/D14,0),0)</f>
        <v>17</v>
      </c>
      <c r="H14" s="1"/>
      <c r="I14" s="1"/>
      <c r="J14" s="1"/>
      <c r="K14" s="1"/>
    </row>
    <row r="15" spans="1:11" ht="18" customHeight="1" x14ac:dyDescent="0.25">
      <c r="A15" s="11" t="s">
        <v>171</v>
      </c>
      <c r="B15" s="16">
        <v>2500</v>
      </c>
      <c r="C15" s="16">
        <v>600</v>
      </c>
      <c r="D15" s="19">
        <f>B15-C15</f>
        <v>1900</v>
      </c>
      <c r="E15" s="14">
        <f>IFERROR(D15/B15,0)</f>
        <v>0.76</v>
      </c>
      <c r="F15" s="21">
        <f>IFERROR(ROUNDUP($B$7/D15,0),0)</f>
        <v>8</v>
      </c>
      <c r="G15" s="21">
        <f>IFERROR(ROUNDUP(($B$7+$B$8+$B$9)/D15,0),0)</f>
        <v>18</v>
      </c>
      <c r="H15" s="1"/>
      <c r="I15" s="1"/>
      <c r="J15" s="1"/>
      <c r="K15" s="1"/>
    </row>
    <row r="16" spans="1:11" ht="18" customHeight="1" x14ac:dyDescent="0.25">
      <c r="A16" s="11" t="s">
        <v>172</v>
      </c>
      <c r="B16" s="16">
        <v>6000</v>
      </c>
      <c r="C16" s="16">
        <v>2000</v>
      </c>
      <c r="D16" s="19">
        <f>B16-C16</f>
        <v>4000</v>
      </c>
      <c r="E16" s="14">
        <f>IFERROR(D16/B16,0)</f>
        <v>0.66666666666666663</v>
      </c>
      <c r="F16" s="21">
        <f>IFERROR(ROUNDUP($B$7/D16,0),0)</f>
        <v>4</v>
      </c>
      <c r="G16" s="21">
        <f>IFERROR(ROUNDUP(($B$7+$B$8+$B$9)/D16,0),0)</f>
        <v>9</v>
      </c>
      <c r="H16" s="1"/>
      <c r="I16" s="1"/>
      <c r="J16" s="1"/>
      <c r="K16" s="1"/>
    </row>
    <row r="17" spans="1:11" ht="18" customHeight="1" x14ac:dyDescent="0.25">
      <c r="A17" s="11" t="s">
        <v>173</v>
      </c>
      <c r="B17" s="16">
        <v>4500</v>
      </c>
      <c r="C17" s="16">
        <v>1200</v>
      </c>
      <c r="D17" s="19">
        <f>B17-C17</f>
        <v>3300</v>
      </c>
      <c r="E17" s="14">
        <f>IFERROR(D17/B17,0)</f>
        <v>0.73333333333333328</v>
      </c>
      <c r="F17" s="21">
        <f>IFERROR(ROUNDUP($B$7/D17,0),0)</f>
        <v>5</v>
      </c>
      <c r="G17" s="21">
        <f>IFERROR(ROUNDUP(($B$7+$B$8+$B$9)/D17,0),0)</f>
        <v>10</v>
      </c>
      <c r="H17" s="1"/>
      <c r="I17" s="1"/>
      <c r="J17" s="1"/>
      <c r="K17" s="1"/>
    </row>
    <row r="18" spans="1:11" ht="18" customHeight="1" x14ac:dyDescent="0.25">
      <c r="A18" s="11" t="s">
        <v>284</v>
      </c>
      <c r="B18" s="16">
        <v>696</v>
      </c>
      <c r="C18" s="16">
        <v>196</v>
      </c>
      <c r="D18" s="19">
        <f>B18-C18</f>
        <v>500</v>
      </c>
      <c r="E18" s="14">
        <f>IFERROR(D18/B18,0)</f>
        <v>0.7183908045977011</v>
      </c>
      <c r="F18" s="21">
        <f>IFERROR(ROUNDUP($B$7/D18,0),0)</f>
        <v>30</v>
      </c>
      <c r="G18" s="21">
        <f>IFERROR(ROUNDUP(($B$7+$B$8+$B$9)/D18,0),0)</f>
        <v>66</v>
      </c>
      <c r="H18" s="1"/>
      <c r="I18" s="1"/>
      <c r="J18" s="1"/>
      <c r="K18" s="1"/>
    </row>
    <row r="19" spans="1:11" ht="18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8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100000000000001" customHeight="1" x14ac:dyDescent="0.25">
      <c r="A21" s="31" t="s">
        <v>174</v>
      </c>
      <c r="B21" s="28"/>
      <c r="C21" s="28"/>
      <c r="D21" s="28"/>
      <c r="E21" s="28"/>
      <c r="F21" s="1"/>
      <c r="G21" s="1"/>
      <c r="H21" s="1"/>
      <c r="I21" s="1"/>
      <c r="J21" s="1"/>
      <c r="K21" s="1"/>
    </row>
    <row r="22" spans="1:11" x14ac:dyDescent="0.25">
      <c r="A22" s="1" t="s">
        <v>175</v>
      </c>
      <c r="B22" s="19">
        <f>AVERAGE(D14:D18)</f>
        <v>2340</v>
      </c>
      <c r="C22" s="1"/>
      <c r="D22" s="1"/>
      <c r="E22" s="1"/>
      <c r="F22" s="1"/>
      <c r="G22" s="1"/>
      <c r="H22" s="1"/>
      <c r="I22" s="1"/>
      <c r="J22" s="1"/>
      <c r="K22" s="1"/>
    </row>
    <row r="23" spans="1:11" ht="30" x14ac:dyDescent="0.25">
      <c r="A23" s="1" t="s">
        <v>176</v>
      </c>
      <c r="B23" s="21">
        <f>ROUNDUP(B7/B22,0)</f>
        <v>7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ht="30" x14ac:dyDescent="0.25">
      <c r="A24" s="1" t="s">
        <v>177</v>
      </c>
      <c r="B24" s="21">
        <f>ROUNDUP((B7+B8+B9)/B22,0)</f>
        <v>15</v>
      </c>
      <c r="C24" s="1"/>
      <c r="D24" s="1"/>
      <c r="E24" s="1"/>
      <c r="F24" s="1"/>
      <c r="G24" s="1"/>
      <c r="H24" s="1"/>
      <c r="I24" s="1"/>
      <c r="J24" s="1"/>
      <c r="K24" s="1"/>
    </row>
  </sheetData>
  <mergeCells count="5">
    <mergeCell ref="A21:E21"/>
    <mergeCell ref="A12:G12"/>
    <mergeCell ref="A2:K2"/>
    <mergeCell ref="A6:E6"/>
    <mergeCell ref="A1:K1"/>
  </mergeCells>
  <pageMargins left="0.75" right="0.75" top="1" bottom="1" header="0.5" footer="0.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25"/>
  <sheetViews>
    <sheetView showGridLines="0" workbookViewId="0">
      <pane ySplit="5" topLeftCell="A6" activePane="bottomLeft" state="frozen"/>
      <selection pane="bottomLeft" activeCell="C15" sqref="C15"/>
    </sheetView>
  </sheetViews>
  <sheetFormatPr baseColWidth="10" defaultColWidth="8.7109375" defaultRowHeight="15" x14ac:dyDescent="0.25"/>
  <cols>
    <col min="1" max="1" width="30" customWidth="1"/>
    <col min="2" max="5" width="16" customWidth="1"/>
    <col min="6" max="8" width="18" customWidth="1"/>
    <col min="9" max="9" width="26" customWidth="1"/>
    <col min="10" max="11" width="15" customWidth="1"/>
  </cols>
  <sheetData>
    <row r="1" spans="1:11" ht="27.95" customHeight="1" x14ac:dyDescent="0.25">
      <c r="A1" s="30" t="s">
        <v>178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27.95" customHeight="1" x14ac:dyDescent="0.25">
      <c r="A2" s="27" t="s">
        <v>179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x14ac:dyDescent="0.25">
      <c r="A4" s="2" t="s">
        <v>2</v>
      </c>
      <c r="B4" s="3" t="s">
        <v>3</v>
      </c>
      <c r="C4" s="1"/>
      <c r="D4" s="4" t="s">
        <v>4</v>
      </c>
      <c r="E4" s="1"/>
      <c r="F4" s="5" t="s">
        <v>5</v>
      </c>
      <c r="G4" s="1"/>
      <c r="H4" s="6" t="s">
        <v>6</v>
      </c>
      <c r="I4" s="1"/>
      <c r="J4" s="1"/>
      <c r="K4" s="1"/>
    </row>
    <row r="5" spans="1:11" ht="1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100000000000001" customHeight="1" x14ac:dyDescent="0.25">
      <c r="A6" s="34" t="s">
        <v>95</v>
      </c>
      <c r="B6" s="28"/>
      <c r="C6" s="28"/>
      <c r="D6" s="28"/>
      <c r="E6" s="28"/>
      <c r="F6" s="28"/>
      <c r="G6" s="1"/>
      <c r="H6" s="1"/>
      <c r="I6" s="1"/>
      <c r="J6" s="1"/>
      <c r="K6" s="1"/>
    </row>
    <row r="7" spans="1:11" ht="30" x14ac:dyDescent="0.25">
      <c r="A7" s="2" t="s">
        <v>180</v>
      </c>
      <c r="B7" s="22">
        <v>80</v>
      </c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2" t="s">
        <v>159</v>
      </c>
      <c r="B8" s="20">
        <f>'Inversión Inicial'!B34</f>
        <v>15000</v>
      </c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2" t="s">
        <v>181</v>
      </c>
      <c r="B9" s="23">
        <f>'Inversión Inicial'!B9</f>
        <v>0.2</v>
      </c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2" t="s">
        <v>182</v>
      </c>
      <c r="B10" s="17">
        <v>0.25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8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100000000000001" customHeight="1" x14ac:dyDescent="0.25">
      <c r="A13" s="29" t="s">
        <v>183</v>
      </c>
      <c r="B13" s="28"/>
      <c r="C13" s="28"/>
      <c r="D13" s="28"/>
      <c r="E13" s="28"/>
      <c r="F13" s="28"/>
      <c r="G13" s="28"/>
      <c r="H13" s="28"/>
      <c r="I13" s="28"/>
      <c r="J13" s="1"/>
      <c r="K13" s="1"/>
    </row>
    <row r="14" spans="1:11" ht="18" customHeight="1" x14ac:dyDescent="0.25">
      <c r="A14" s="7" t="s">
        <v>184</v>
      </c>
      <c r="B14" s="7" t="s">
        <v>185</v>
      </c>
      <c r="C14" s="7" t="s">
        <v>186</v>
      </c>
      <c r="D14" s="7" t="s">
        <v>187</v>
      </c>
      <c r="E14" s="7" t="s">
        <v>188</v>
      </c>
      <c r="F14" s="7" t="s">
        <v>189</v>
      </c>
      <c r="G14" s="7" t="s">
        <v>190</v>
      </c>
      <c r="H14" s="7" t="s">
        <v>191</v>
      </c>
      <c r="I14" s="7" t="s">
        <v>192</v>
      </c>
      <c r="J14" s="1"/>
      <c r="K14" s="1"/>
    </row>
    <row r="15" spans="1:11" ht="18" customHeight="1" x14ac:dyDescent="0.25">
      <c r="A15" s="41" t="s">
        <v>170</v>
      </c>
      <c r="B15" s="22">
        <v>4</v>
      </c>
      <c r="C15" s="16">
        <v>1000</v>
      </c>
      <c r="D15" s="16">
        <v>350</v>
      </c>
      <c r="E15" s="19">
        <f>($B$8/$B$7)*B15</f>
        <v>750</v>
      </c>
      <c r="F15" s="19">
        <f>(C15+D15*B15+E15)*$B$9/(1-$B$9)</f>
        <v>787.5</v>
      </c>
      <c r="G15" s="19">
        <f>C15+D15*B15+E15+F15</f>
        <v>3937.5</v>
      </c>
      <c r="H15" s="19">
        <f>G15/(1-$B$10)</f>
        <v>5250</v>
      </c>
      <c r="I15" s="19">
        <f>H15*1.5</f>
        <v>7875</v>
      </c>
      <c r="J15" s="1"/>
      <c r="K15" s="1"/>
    </row>
    <row r="16" spans="1:11" ht="18" customHeight="1" x14ac:dyDescent="0.25">
      <c r="A16" s="11" t="s">
        <v>171</v>
      </c>
      <c r="B16" s="22">
        <v>2</v>
      </c>
      <c r="C16" s="16">
        <v>500</v>
      </c>
      <c r="D16" s="16">
        <v>500</v>
      </c>
      <c r="E16" s="19">
        <f>($B$8/$B$7)*B16</f>
        <v>375</v>
      </c>
      <c r="F16" s="19">
        <f>(C16+D16*B16+E16)*$B$9/(1-$B$9)</f>
        <v>468.75</v>
      </c>
      <c r="G16" s="19">
        <f>C16+D16*B16+E16+F16</f>
        <v>2343.75</v>
      </c>
      <c r="H16" s="19">
        <f>G16/(1-$B$10)</f>
        <v>3125</v>
      </c>
      <c r="I16" s="19">
        <f>H16*1.5</f>
        <v>4687.5</v>
      </c>
      <c r="J16" s="1"/>
      <c r="K16" s="1"/>
    </row>
    <row r="17" spans="1:11" ht="18" customHeight="1" x14ac:dyDescent="0.25">
      <c r="A17" s="11" t="s">
        <v>172</v>
      </c>
      <c r="B17" s="22">
        <v>8</v>
      </c>
      <c r="C17" s="16">
        <v>3000</v>
      </c>
      <c r="D17" s="16">
        <v>450</v>
      </c>
      <c r="E17" s="19">
        <f>($B$8/$B$7)*B17</f>
        <v>1500</v>
      </c>
      <c r="F17" s="19">
        <f>(C17+D17*B17+E17)*$B$9/(1-$B$9)</f>
        <v>2025</v>
      </c>
      <c r="G17" s="19">
        <f>C17+D17*B17+E17+F17</f>
        <v>10125</v>
      </c>
      <c r="H17" s="19">
        <f>G17/(1-$B$10)</f>
        <v>13500</v>
      </c>
      <c r="I17" s="19">
        <f>H17*1.5</f>
        <v>20250</v>
      </c>
      <c r="J17" s="1"/>
      <c r="K17" s="1"/>
    </row>
    <row r="18" spans="1:11" ht="18" customHeight="1" x14ac:dyDescent="0.25">
      <c r="A18" s="11" t="s">
        <v>173</v>
      </c>
      <c r="B18" s="22">
        <v>5</v>
      </c>
      <c r="C18" s="16">
        <v>1500</v>
      </c>
      <c r="D18" s="16">
        <v>500</v>
      </c>
      <c r="E18" s="19">
        <f>($B$8/$B$7)*B18</f>
        <v>937.5</v>
      </c>
      <c r="F18" s="19">
        <f>(C18+D18*B18+E18)*$B$9/(1-$B$9)</f>
        <v>1234.375</v>
      </c>
      <c r="G18" s="19">
        <f>C18+D18*B18+E18+F18</f>
        <v>6171.875</v>
      </c>
      <c r="H18" s="19">
        <f>G18/(1-$B$10)</f>
        <v>8229.1666666666661</v>
      </c>
      <c r="I18" s="19">
        <f>H18*1.5</f>
        <v>12343.75</v>
      </c>
      <c r="J18" s="1"/>
      <c r="K18" s="1"/>
    </row>
    <row r="19" spans="1:11" ht="18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8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31" t="s">
        <v>193</v>
      </c>
      <c r="B21" s="28"/>
      <c r="C21" s="28"/>
      <c r="D21" s="28"/>
      <c r="E21" s="28"/>
      <c r="F21" s="1"/>
      <c r="G21" s="1"/>
      <c r="H21" s="1"/>
      <c r="I21" s="1"/>
      <c r="J21" s="1"/>
      <c r="K21" s="1"/>
    </row>
    <row r="22" spans="1:11" x14ac:dyDescent="0.25">
      <c r="A22" s="7" t="s">
        <v>194</v>
      </c>
      <c r="B22" s="7" t="s">
        <v>75</v>
      </c>
      <c r="C22" s="7" t="s">
        <v>195</v>
      </c>
      <c r="D22" s="7" t="s">
        <v>54</v>
      </c>
      <c r="E22" s="7" t="s">
        <v>196</v>
      </c>
      <c r="F22" s="1"/>
      <c r="G22" s="1"/>
      <c r="H22" s="1"/>
      <c r="I22" s="1"/>
      <c r="J22" s="1"/>
      <c r="K22" s="1"/>
    </row>
    <row r="23" spans="1:11" ht="45" x14ac:dyDescent="0.25">
      <c r="A23" s="11" t="s">
        <v>197</v>
      </c>
      <c r="B23" s="19">
        <f>H15</f>
        <v>5250</v>
      </c>
      <c r="C23" s="11" t="s">
        <v>198</v>
      </c>
      <c r="D23" s="11" t="s">
        <v>199</v>
      </c>
      <c r="E23" s="11" t="s">
        <v>200</v>
      </c>
      <c r="F23" s="1"/>
      <c r="G23" s="1"/>
      <c r="H23" s="1"/>
      <c r="I23" s="1"/>
      <c r="J23" s="1"/>
      <c r="K23" s="1"/>
    </row>
    <row r="24" spans="1:11" ht="45" x14ac:dyDescent="0.25">
      <c r="A24" s="11" t="s">
        <v>201</v>
      </c>
      <c r="B24" s="19">
        <f>H15+H16</f>
        <v>8375</v>
      </c>
      <c r="C24" s="11" t="s">
        <v>202</v>
      </c>
      <c r="D24" s="11" t="s">
        <v>203</v>
      </c>
      <c r="E24" s="11" t="s">
        <v>204</v>
      </c>
      <c r="F24" s="1"/>
      <c r="G24" s="1"/>
      <c r="H24" s="1"/>
      <c r="I24" s="1"/>
      <c r="J24" s="1"/>
      <c r="K24" s="1"/>
    </row>
    <row r="25" spans="1:11" ht="45" x14ac:dyDescent="0.25">
      <c r="A25" s="11" t="s">
        <v>205</v>
      </c>
      <c r="B25" s="19">
        <f>I15+H16</f>
        <v>11000</v>
      </c>
      <c r="C25" s="11" t="s">
        <v>206</v>
      </c>
      <c r="D25" s="11" t="s">
        <v>207</v>
      </c>
      <c r="E25" s="11" t="s">
        <v>208</v>
      </c>
      <c r="F25" s="1"/>
      <c r="G25" s="1"/>
      <c r="H25" s="1"/>
      <c r="I25" s="1"/>
      <c r="J25" s="1"/>
      <c r="K25" s="1"/>
    </row>
  </sheetData>
  <mergeCells count="5">
    <mergeCell ref="A21:E21"/>
    <mergeCell ref="A13:I13"/>
    <mergeCell ref="A2:K2"/>
    <mergeCell ref="A6:F6"/>
    <mergeCell ref="A1:K1"/>
  </mergeCell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19"/>
  <sheetViews>
    <sheetView showGridLines="0" workbookViewId="0">
      <pane ySplit="5" topLeftCell="A6" activePane="bottomLeft" state="frozen"/>
      <selection pane="bottomLeft" activeCell="J29" sqref="J29"/>
    </sheetView>
  </sheetViews>
  <sheetFormatPr baseColWidth="10" defaultColWidth="8.7109375" defaultRowHeight="15" x14ac:dyDescent="0.25"/>
  <cols>
    <col min="1" max="1" width="27" customWidth="1"/>
    <col min="2" max="12" width="14" customWidth="1"/>
    <col min="13" max="13" width="18" customWidth="1"/>
    <col min="14" max="14" width="12.140625" customWidth="1"/>
  </cols>
  <sheetData>
    <row r="1" spans="1:14" ht="27.95" customHeight="1" x14ac:dyDescent="0.25">
      <c r="A1" s="30" t="s">
        <v>209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1"/>
      <c r="M1" s="1"/>
      <c r="N1" s="1"/>
    </row>
    <row r="2" spans="1:14" ht="27.95" customHeight="1" x14ac:dyDescent="0.25">
      <c r="A2" s="27" t="s">
        <v>210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1"/>
      <c r="M2" s="1"/>
      <c r="N2" s="1"/>
    </row>
    <row r="3" spans="1:14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4" x14ac:dyDescent="0.25">
      <c r="A4" s="2" t="s">
        <v>2</v>
      </c>
      <c r="B4" s="3" t="s">
        <v>3</v>
      </c>
      <c r="C4" s="1"/>
      <c r="D4" s="4" t="s">
        <v>4</v>
      </c>
      <c r="E4" s="1"/>
      <c r="F4" s="5" t="s">
        <v>5</v>
      </c>
      <c r="G4" s="1"/>
      <c r="H4" s="6" t="s">
        <v>6</v>
      </c>
      <c r="I4" s="1"/>
      <c r="J4" s="1"/>
      <c r="K4" s="1"/>
      <c r="L4" s="1"/>
      <c r="M4" s="1"/>
      <c r="N4" s="1"/>
    </row>
    <row r="5" spans="1:14" ht="1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29" t="s">
        <v>211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1"/>
    </row>
    <row r="7" spans="1:14" x14ac:dyDescent="0.25">
      <c r="A7" s="7" t="s">
        <v>100</v>
      </c>
      <c r="B7" s="7" t="s">
        <v>212</v>
      </c>
      <c r="C7" s="7" t="s">
        <v>213</v>
      </c>
      <c r="D7" s="7" t="s">
        <v>214</v>
      </c>
      <c r="E7" s="7" t="s">
        <v>215</v>
      </c>
      <c r="F7" s="7" t="s">
        <v>216</v>
      </c>
      <c r="G7" s="7" t="s">
        <v>217</v>
      </c>
      <c r="H7" s="7" t="s">
        <v>218</v>
      </c>
      <c r="I7" s="7" t="s">
        <v>219</v>
      </c>
      <c r="J7" s="7" t="s">
        <v>220</v>
      </c>
      <c r="K7" s="7" t="s">
        <v>221</v>
      </c>
      <c r="L7" s="7" t="s">
        <v>222</v>
      </c>
      <c r="M7" s="7" t="s">
        <v>223</v>
      </c>
      <c r="N7" s="26" t="s">
        <v>224</v>
      </c>
    </row>
    <row r="8" spans="1:14" x14ac:dyDescent="0.25">
      <c r="A8" s="2" t="s">
        <v>225</v>
      </c>
      <c r="B8" s="16">
        <v>80000</v>
      </c>
      <c r="C8" s="16">
        <v>80000</v>
      </c>
      <c r="D8" s="16">
        <v>120000</v>
      </c>
      <c r="E8" s="16">
        <v>80000</v>
      </c>
      <c r="F8" s="16">
        <v>80000</v>
      </c>
      <c r="G8" s="16">
        <v>80000</v>
      </c>
      <c r="H8" s="16">
        <v>80000</v>
      </c>
      <c r="I8" s="16">
        <v>80000</v>
      </c>
      <c r="J8" s="16">
        <v>80000</v>
      </c>
      <c r="K8" s="16">
        <v>80000</v>
      </c>
      <c r="L8" s="16">
        <v>80000</v>
      </c>
      <c r="M8" s="16">
        <v>80000</v>
      </c>
      <c r="N8" s="19">
        <f t="shared" ref="N8:N14" si="0">SUM(B8:M8)</f>
        <v>1000000</v>
      </c>
    </row>
    <row r="9" spans="1:14" x14ac:dyDescent="0.25">
      <c r="A9" s="2" t="s">
        <v>226</v>
      </c>
      <c r="B9" s="16">
        <f>B8*40%</f>
        <v>32000</v>
      </c>
      <c r="C9" s="16">
        <f t="shared" ref="C9:M9" si="1">C8*40%</f>
        <v>32000</v>
      </c>
      <c r="D9" s="16">
        <f t="shared" si="1"/>
        <v>48000</v>
      </c>
      <c r="E9" s="16">
        <f t="shared" si="1"/>
        <v>32000</v>
      </c>
      <c r="F9" s="16">
        <f t="shared" si="1"/>
        <v>32000</v>
      </c>
      <c r="G9" s="16">
        <f t="shared" si="1"/>
        <v>32000</v>
      </c>
      <c r="H9" s="16">
        <f t="shared" si="1"/>
        <v>32000</v>
      </c>
      <c r="I9" s="16">
        <f t="shared" si="1"/>
        <v>32000</v>
      </c>
      <c r="J9" s="16">
        <f t="shared" si="1"/>
        <v>32000</v>
      </c>
      <c r="K9" s="16">
        <f t="shared" si="1"/>
        <v>32000</v>
      </c>
      <c r="L9" s="16">
        <f t="shared" si="1"/>
        <v>32000</v>
      </c>
      <c r="M9" s="16">
        <f t="shared" si="1"/>
        <v>32000</v>
      </c>
      <c r="N9" s="19">
        <f t="shared" si="0"/>
        <v>400000</v>
      </c>
    </row>
    <row r="10" spans="1:14" x14ac:dyDescent="0.25">
      <c r="A10" s="2" t="s">
        <v>227</v>
      </c>
      <c r="B10" s="16">
        <v>15000</v>
      </c>
      <c r="C10" s="16">
        <v>15000</v>
      </c>
      <c r="D10" s="16">
        <v>15000</v>
      </c>
      <c r="E10" s="16">
        <v>15000</v>
      </c>
      <c r="F10" s="16">
        <v>15000</v>
      </c>
      <c r="G10" s="16">
        <v>15000</v>
      </c>
      <c r="H10" s="16">
        <v>15000</v>
      </c>
      <c r="I10" s="16">
        <v>15000</v>
      </c>
      <c r="J10" s="16">
        <v>15000</v>
      </c>
      <c r="K10" s="16">
        <v>15000</v>
      </c>
      <c r="L10" s="16">
        <v>15000</v>
      </c>
      <c r="M10" s="16">
        <v>15000</v>
      </c>
      <c r="N10" s="19">
        <f t="shared" si="0"/>
        <v>180000</v>
      </c>
    </row>
    <row r="11" spans="1:14" x14ac:dyDescent="0.25">
      <c r="A11" s="2" t="s">
        <v>228</v>
      </c>
      <c r="B11" s="16">
        <f>B8*10%</f>
        <v>8000</v>
      </c>
      <c r="C11" s="16">
        <f t="shared" ref="C11:M11" si="2">C8*10%</f>
        <v>8000</v>
      </c>
      <c r="D11" s="16">
        <f t="shared" si="2"/>
        <v>12000</v>
      </c>
      <c r="E11" s="16">
        <f t="shared" si="2"/>
        <v>8000</v>
      </c>
      <c r="F11" s="16">
        <f t="shared" si="2"/>
        <v>8000</v>
      </c>
      <c r="G11" s="16">
        <f t="shared" si="2"/>
        <v>8000</v>
      </c>
      <c r="H11" s="16">
        <f t="shared" si="2"/>
        <v>8000</v>
      </c>
      <c r="I11" s="16">
        <f t="shared" si="2"/>
        <v>8000</v>
      </c>
      <c r="J11" s="16">
        <f t="shared" si="2"/>
        <v>8000</v>
      </c>
      <c r="K11" s="16">
        <f t="shared" si="2"/>
        <v>8000</v>
      </c>
      <c r="L11" s="16">
        <f t="shared" si="2"/>
        <v>8000</v>
      </c>
      <c r="M11" s="16">
        <f t="shared" si="2"/>
        <v>8000</v>
      </c>
      <c r="N11" s="19">
        <f t="shared" si="0"/>
        <v>100000</v>
      </c>
    </row>
    <row r="12" spans="1:14" x14ac:dyDescent="0.25">
      <c r="A12" s="2" t="s">
        <v>229</v>
      </c>
      <c r="B12" s="16">
        <v>18000</v>
      </c>
      <c r="C12" s="16">
        <v>18000</v>
      </c>
      <c r="D12" s="16">
        <v>18000</v>
      </c>
      <c r="E12" s="16">
        <v>18000</v>
      </c>
      <c r="F12" s="16">
        <v>18000</v>
      </c>
      <c r="G12" s="16">
        <v>18000</v>
      </c>
      <c r="H12" s="16">
        <v>18000</v>
      </c>
      <c r="I12" s="16">
        <v>18000</v>
      </c>
      <c r="J12" s="16">
        <v>18000</v>
      </c>
      <c r="K12" s="16">
        <v>18000</v>
      </c>
      <c r="L12" s="16">
        <v>18000</v>
      </c>
      <c r="M12" s="16">
        <v>18000</v>
      </c>
      <c r="N12" s="19">
        <f t="shared" si="0"/>
        <v>216000</v>
      </c>
    </row>
    <row r="13" spans="1:14" x14ac:dyDescent="0.25">
      <c r="A13" s="2" t="s">
        <v>230</v>
      </c>
      <c r="B13" s="16">
        <v>500</v>
      </c>
      <c r="C13" s="16">
        <v>500</v>
      </c>
      <c r="D13" s="16">
        <v>500</v>
      </c>
      <c r="E13" s="16">
        <v>500</v>
      </c>
      <c r="F13" s="16">
        <v>500</v>
      </c>
      <c r="G13" s="16">
        <v>500</v>
      </c>
      <c r="H13" s="16">
        <v>500</v>
      </c>
      <c r="I13" s="16">
        <v>500</v>
      </c>
      <c r="J13" s="16">
        <v>500</v>
      </c>
      <c r="K13" s="16">
        <v>500</v>
      </c>
      <c r="L13" s="16">
        <v>500</v>
      </c>
      <c r="M13" s="16">
        <v>500</v>
      </c>
      <c r="N13" s="19">
        <f t="shared" si="0"/>
        <v>6000</v>
      </c>
    </row>
    <row r="14" spans="1:14" x14ac:dyDescent="0.25">
      <c r="A14" s="2" t="s">
        <v>231</v>
      </c>
      <c r="B14" s="19">
        <f t="shared" ref="B14:M14" si="3">B8-B9-B10-B11-B12-B13</f>
        <v>6500</v>
      </c>
      <c r="C14" s="19">
        <f t="shared" si="3"/>
        <v>6500</v>
      </c>
      <c r="D14" s="19">
        <f t="shared" si="3"/>
        <v>26500</v>
      </c>
      <c r="E14" s="19">
        <f t="shared" si="3"/>
        <v>6500</v>
      </c>
      <c r="F14" s="19">
        <f t="shared" si="3"/>
        <v>6500</v>
      </c>
      <c r="G14" s="19">
        <f t="shared" si="3"/>
        <v>6500</v>
      </c>
      <c r="H14" s="19">
        <f t="shared" si="3"/>
        <v>6500</v>
      </c>
      <c r="I14" s="19">
        <f t="shared" si="3"/>
        <v>6500</v>
      </c>
      <c r="J14" s="19">
        <f t="shared" si="3"/>
        <v>6500</v>
      </c>
      <c r="K14" s="19">
        <f t="shared" si="3"/>
        <v>6500</v>
      </c>
      <c r="L14" s="19">
        <f t="shared" si="3"/>
        <v>6500</v>
      </c>
      <c r="M14" s="19">
        <f t="shared" si="3"/>
        <v>6500</v>
      </c>
      <c r="N14" s="19">
        <f t="shared" si="0"/>
        <v>98000</v>
      </c>
    </row>
    <row r="15" spans="1:14" x14ac:dyDescent="0.25">
      <c r="A15" s="2" t="s">
        <v>232</v>
      </c>
      <c r="B15" s="14">
        <f t="shared" ref="B15:M15" si="4">IFERROR(B14/B8,0)</f>
        <v>8.1250000000000003E-2</v>
      </c>
      <c r="C15" s="14">
        <f t="shared" si="4"/>
        <v>8.1250000000000003E-2</v>
      </c>
      <c r="D15" s="14">
        <f t="shared" si="4"/>
        <v>0.22083333333333333</v>
      </c>
      <c r="E15" s="14">
        <f t="shared" si="4"/>
        <v>8.1250000000000003E-2</v>
      </c>
      <c r="F15" s="14">
        <f t="shared" si="4"/>
        <v>8.1250000000000003E-2</v>
      </c>
      <c r="G15" s="14">
        <f t="shared" si="4"/>
        <v>8.1250000000000003E-2</v>
      </c>
      <c r="H15" s="14">
        <f t="shared" si="4"/>
        <v>8.1250000000000003E-2</v>
      </c>
      <c r="I15" s="14">
        <f t="shared" si="4"/>
        <v>8.1250000000000003E-2</v>
      </c>
      <c r="J15" s="14">
        <f t="shared" si="4"/>
        <v>8.1250000000000003E-2</v>
      </c>
      <c r="K15" s="14">
        <f t="shared" si="4"/>
        <v>8.1250000000000003E-2</v>
      </c>
      <c r="L15" s="14">
        <f t="shared" si="4"/>
        <v>8.1250000000000003E-2</v>
      </c>
      <c r="M15" s="14">
        <f t="shared" si="4"/>
        <v>8.1250000000000003E-2</v>
      </c>
      <c r="N15" s="14">
        <f>AVERAGE(B15:M15)</f>
        <v>9.2881944444444461E-2</v>
      </c>
    </row>
    <row r="16" spans="1:14" x14ac:dyDescent="0.25">
      <c r="A16" s="2" t="s">
        <v>233</v>
      </c>
      <c r="B16" s="16">
        <f>B8*1%</f>
        <v>800</v>
      </c>
      <c r="C16" s="16">
        <f t="shared" ref="C16:M16" si="5">C8*1%</f>
        <v>800</v>
      </c>
      <c r="D16" s="16">
        <f t="shared" si="5"/>
        <v>1200</v>
      </c>
      <c r="E16" s="16">
        <f t="shared" si="5"/>
        <v>800</v>
      </c>
      <c r="F16" s="16">
        <f t="shared" si="5"/>
        <v>800</v>
      </c>
      <c r="G16" s="16">
        <f t="shared" si="5"/>
        <v>800</v>
      </c>
      <c r="H16" s="16">
        <f t="shared" si="5"/>
        <v>800</v>
      </c>
      <c r="I16" s="16">
        <f t="shared" si="5"/>
        <v>800</v>
      </c>
      <c r="J16" s="16">
        <f t="shared" si="5"/>
        <v>800</v>
      </c>
      <c r="K16" s="16">
        <f t="shared" si="5"/>
        <v>800</v>
      </c>
      <c r="L16" s="16">
        <f t="shared" si="5"/>
        <v>800</v>
      </c>
      <c r="M16" s="16">
        <f t="shared" si="5"/>
        <v>800</v>
      </c>
      <c r="N16" s="19">
        <f>M16</f>
        <v>800</v>
      </c>
    </row>
    <row r="17" spans="1:1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40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8" customHeight="1" x14ac:dyDescent="0.25">
      <c r="A19" s="2" t="s">
        <v>234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</sheetData>
  <mergeCells count="3">
    <mergeCell ref="A2:K2"/>
    <mergeCell ref="A1:K1"/>
    <mergeCell ref="A6:M6"/>
  </mergeCells>
  <pageMargins left="0.75" right="0.75" top="1" bottom="1" header="0.5" footer="0.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23"/>
  <sheetViews>
    <sheetView showGridLines="0" workbookViewId="0">
      <pane ySplit="5" topLeftCell="A14" activePane="bottomLeft" state="frozen"/>
      <selection pane="bottomLeft" activeCell="D22" sqref="D22"/>
    </sheetView>
  </sheetViews>
  <sheetFormatPr baseColWidth="10" defaultColWidth="8.7109375" defaultRowHeight="15" x14ac:dyDescent="0.25"/>
  <cols>
    <col min="1" max="1" width="28" customWidth="1"/>
    <col min="2" max="2" width="48.28515625" customWidth="1"/>
    <col min="3" max="3" width="18" customWidth="1"/>
    <col min="4" max="4" width="42" customWidth="1"/>
    <col min="5" max="11" width="15" customWidth="1"/>
  </cols>
  <sheetData>
    <row r="1" spans="1:11" ht="27.95" customHeight="1" x14ac:dyDescent="0.25">
      <c r="A1" s="30" t="s">
        <v>235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27.95" customHeight="1" x14ac:dyDescent="0.25">
      <c r="A2" s="27" t="s">
        <v>236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" customHeight="1" x14ac:dyDescent="0.25">
      <c r="A4" s="2" t="s">
        <v>2</v>
      </c>
      <c r="B4" s="3" t="s">
        <v>3</v>
      </c>
      <c r="C4" s="1"/>
      <c r="D4" s="4" t="s">
        <v>4</v>
      </c>
      <c r="E4" s="1"/>
      <c r="F4" s="5" t="s">
        <v>5</v>
      </c>
      <c r="G4" s="1"/>
      <c r="H4" s="6" t="s">
        <v>6</v>
      </c>
      <c r="I4" s="1"/>
      <c r="J4" s="1"/>
      <c r="K4" s="1"/>
    </row>
    <row r="5" spans="1:11" ht="1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100000000000001" customHeight="1" x14ac:dyDescent="0.25">
      <c r="A6" s="29" t="s">
        <v>237</v>
      </c>
      <c r="B6" s="28"/>
      <c r="C6" s="28"/>
      <c r="D6" s="28"/>
      <c r="E6" s="1"/>
      <c r="F6" s="1"/>
      <c r="G6" s="1"/>
      <c r="H6" s="1"/>
      <c r="I6" s="1"/>
      <c r="J6" s="1"/>
      <c r="K6" s="1"/>
    </row>
    <row r="7" spans="1:11" x14ac:dyDescent="0.25">
      <c r="A7" s="7" t="s">
        <v>64</v>
      </c>
      <c r="B7" s="7" t="s">
        <v>65</v>
      </c>
      <c r="C7" s="7" t="s">
        <v>48</v>
      </c>
      <c r="D7" s="7" t="s">
        <v>238</v>
      </c>
      <c r="E7" s="1"/>
      <c r="F7" s="1"/>
      <c r="G7" s="1"/>
      <c r="H7" s="1"/>
      <c r="I7" s="1"/>
      <c r="J7" s="1"/>
      <c r="K7" s="1"/>
    </row>
    <row r="8" spans="1:11" ht="30" x14ac:dyDescent="0.25">
      <c r="A8" s="11" t="s">
        <v>239</v>
      </c>
      <c r="B8" s="11" t="s">
        <v>240</v>
      </c>
      <c r="C8" s="11" t="s">
        <v>241</v>
      </c>
      <c r="D8" s="11"/>
      <c r="E8" s="1"/>
      <c r="F8" s="1"/>
      <c r="G8" s="1"/>
      <c r="H8" s="1"/>
      <c r="I8" s="1"/>
      <c r="J8" s="1"/>
      <c r="K8" s="1"/>
    </row>
    <row r="9" spans="1:11" ht="30" x14ac:dyDescent="0.25">
      <c r="A9" s="11" t="s">
        <v>242</v>
      </c>
      <c r="B9" s="11" t="s">
        <v>243</v>
      </c>
      <c r="C9" s="11" t="s">
        <v>241</v>
      </c>
      <c r="D9" s="11"/>
      <c r="E9" s="1"/>
      <c r="F9" s="1"/>
      <c r="G9" s="1"/>
      <c r="H9" s="1"/>
      <c r="I9" s="1"/>
      <c r="J9" s="1"/>
      <c r="K9" s="1"/>
    </row>
    <row r="10" spans="1:11" ht="30" x14ac:dyDescent="0.25">
      <c r="A10" s="11" t="s">
        <v>244</v>
      </c>
      <c r="B10" s="11" t="s">
        <v>245</v>
      </c>
      <c r="C10" s="11" t="s">
        <v>241</v>
      </c>
      <c r="D10" s="11"/>
      <c r="E10" s="1"/>
      <c r="F10" s="1"/>
      <c r="G10" s="1"/>
      <c r="H10" s="1"/>
      <c r="I10" s="1"/>
      <c r="J10" s="1"/>
      <c r="K10" s="1"/>
    </row>
    <row r="11" spans="1:11" ht="21.95" customHeight="1" x14ac:dyDescent="0.25">
      <c r="A11" s="11" t="s">
        <v>246</v>
      </c>
      <c r="B11" s="11" t="s">
        <v>247</v>
      </c>
      <c r="C11" s="11" t="s">
        <v>241</v>
      </c>
      <c r="D11" s="11"/>
      <c r="E11" s="1"/>
      <c r="F11" s="1"/>
      <c r="G11" s="1"/>
      <c r="H11" s="1"/>
      <c r="I11" s="1"/>
      <c r="J11" s="1"/>
      <c r="K11" s="1"/>
    </row>
    <row r="12" spans="1:11" ht="30" x14ac:dyDescent="0.25">
      <c r="A12" s="11" t="s">
        <v>248</v>
      </c>
      <c r="B12" s="11" t="s">
        <v>249</v>
      </c>
      <c r="C12" s="11" t="s">
        <v>241</v>
      </c>
      <c r="D12" s="11"/>
      <c r="E12" s="1"/>
      <c r="F12" s="1"/>
      <c r="G12" s="1"/>
      <c r="H12" s="1"/>
      <c r="I12" s="1"/>
      <c r="J12" s="1"/>
      <c r="K12" s="1"/>
    </row>
    <row r="13" spans="1:11" ht="30" x14ac:dyDescent="0.25">
      <c r="A13" s="11" t="s">
        <v>250</v>
      </c>
      <c r="B13" s="11" t="s">
        <v>251</v>
      </c>
      <c r="C13" s="11" t="s">
        <v>241</v>
      </c>
      <c r="D13" s="11"/>
      <c r="E13" s="1"/>
      <c r="F13" s="1"/>
      <c r="G13" s="1"/>
      <c r="H13" s="1"/>
      <c r="I13" s="1"/>
      <c r="J13" s="1"/>
      <c r="K13" s="1"/>
    </row>
    <row r="14" spans="1:11" ht="30" x14ac:dyDescent="0.25">
      <c r="A14" s="11" t="s">
        <v>252</v>
      </c>
      <c r="B14" s="11" t="s">
        <v>253</v>
      </c>
      <c r="C14" s="11" t="s">
        <v>241</v>
      </c>
      <c r="D14" s="11"/>
      <c r="E14" s="1"/>
      <c r="F14" s="1"/>
      <c r="G14" s="1"/>
      <c r="H14" s="1"/>
      <c r="I14" s="1"/>
      <c r="J14" s="1"/>
      <c r="K14" s="1"/>
    </row>
    <row r="15" spans="1:11" ht="18.600000000000001" customHeight="1" x14ac:dyDescent="0.25">
      <c r="A15" s="11" t="s">
        <v>254</v>
      </c>
      <c r="B15" s="11" t="s">
        <v>255</v>
      </c>
      <c r="C15" s="11" t="s">
        <v>241</v>
      </c>
      <c r="D15" s="11"/>
      <c r="E15" s="1"/>
      <c r="F15" s="1"/>
      <c r="G15" s="1"/>
      <c r="H15" s="1"/>
      <c r="I15" s="1"/>
      <c r="J15" s="1"/>
      <c r="K15" s="1"/>
    </row>
    <row r="16" spans="1:11" ht="23.45" customHeight="1" x14ac:dyDescent="0.25">
      <c r="A16" s="11" t="s">
        <v>256</v>
      </c>
      <c r="B16" s="11" t="s">
        <v>257</v>
      </c>
      <c r="C16" s="11" t="s">
        <v>241</v>
      </c>
      <c r="D16" s="11"/>
      <c r="E16" s="1"/>
      <c r="F16" s="1"/>
      <c r="G16" s="1"/>
      <c r="H16" s="1"/>
      <c r="I16" s="1"/>
      <c r="J16" s="1"/>
      <c r="K16" s="1"/>
    </row>
    <row r="17" spans="1:11" ht="18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8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31" t="s">
        <v>258</v>
      </c>
      <c r="B19" s="28"/>
      <c r="C19" s="28"/>
      <c r="D19" s="28"/>
      <c r="E19" s="1"/>
      <c r="F19" s="1"/>
      <c r="G19" s="1"/>
      <c r="H19" s="1"/>
      <c r="I19" s="1"/>
      <c r="J19" s="1"/>
      <c r="K19" s="1"/>
    </row>
    <row r="20" spans="1:11" ht="45" x14ac:dyDescent="0.25">
      <c r="A20" s="8" t="s">
        <v>34</v>
      </c>
      <c r="B20" s="9" t="s">
        <v>35</v>
      </c>
      <c r="C20" s="1"/>
      <c r="D20" s="1"/>
      <c r="E20" s="1"/>
      <c r="F20" s="1"/>
      <c r="G20" s="1"/>
      <c r="H20" s="1"/>
      <c r="I20" s="1"/>
      <c r="J20" s="1"/>
      <c r="K20" s="1"/>
    </row>
    <row r="21" spans="1:11" ht="45" x14ac:dyDescent="0.25">
      <c r="A21" s="8" t="s">
        <v>259</v>
      </c>
      <c r="B21" s="9" t="s">
        <v>37</v>
      </c>
      <c r="C21" s="1"/>
      <c r="D21" s="1"/>
      <c r="E21" s="1"/>
      <c r="F21" s="1"/>
      <c r="G21" s="1"/>
      <c r="H21" s="1"/>
      <c r="I21" s="1"/>
      <c r="J21" s="1"/>
      <c r="K21" s="1"/>
    </row>
    <row r="22" spans="1:11" ht="30" x14ac:dyDescent="0.25">
      <c r="A22" s="8" t="s">
        <v>260</v>
      </c>
      <c r="B22" s="9" t="s">
        <v>39</v>
      </c>
      <c r="C22" s="1"/>
      <c r="D22" s="1"/>
      <c r="E22" s="1"/>
      <c r="F22" s="1"/>
      <c r="G22" s="1"/>
      <c r="H22" s="1"/>
      <c r="I22" s="1"/>
      <c r="J22" s="1"/>
      <c r="K22" s="1"/>
    </row>
    <row r="23" spans="1:11" ht="30" x14ac:dyDescent="0.25">
      <c r="A23" s="8" t="s">
        <v>261</v>
      </c>
      <c r="B23" s="9" t="s">
        <v>41</v>
      </c>
      <c r="C23" s="1"/>
      <c r="D23" s="1"/>
      <c r="E23" s="1"/>
      <c r="F23" s="1"/>
      <c r="G23" s="1"/>
      <c r="H23" s="1"/>
      <c r="I23" s="1"/>
      <c r="J23" s="1"/>
      <c r="K23" s="1"/>
    </row>
  </sheetData>
  <mergeCells count="4">
    <mergeCell ref="A2:K2"/>
    <mergeCell ref="A1:K1"/>
    <mergeCell ref="A19:D19"/>
    <mergeCell ref="A6:D6"/>
  </mergeCells>
  <dataValidations count="1">
    <dataValidation type="list" sqref="C8 C9 C10 C11 C12 C13 C14 C15 C16" xr:uid="{00000000-0002-0000-0600-000000000000}">
      <formula1>"Pendiente,En proceso,Listo,No aplica"</formula1>
    </dataValidation>
  </dataValidations>
  <hyperlinks>
    <hyperlink ref="B20" r:id="rId1" xr:uid="{00000000-0004-0000-0600-000000000000}"/>
    <hyperlink ref="B21" r:id="rId2" xr:uid="{00000000-0004-0000-0600-000001000000}"/>
    <hyperlink ref="B22" r:id="rId3" xr:uid="{00000000-0004-0000-0600-000002000000}"/>
    <hyperlink ref="B23" r:id="rId4" xr:uid="{00000000-0004-0000-0600-000003000000}"/>
  </hyperlinks>
  <pageMargins left="0.75" right="0.75" top="1" bottom="1" header="0.5" footer="0.5"/>
  <pageSetup fitToHeight="0" orientation="landscape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26"/>
  <sheetViews>
    <sheetView showGridLines="0" workbookViewId="0">
      <pane ySplit="5" topLeftCell="A6" activePane="bottomLeft" state="frozen"/>
      <selection pane="bottomLeft" activeCell="B13" sqref="B13"/>
    </sheetView>
  </sheetViews>
  <sheetFormatPr baseColWidth="10" defaultColWidth="8.7109375" defaultRowHeight="15" x14ac:dyDescent="0.25"/>
  <cols>
    <col min="1" max="1" width="32" customWidth="1"/>
    <col min="2" max="2" width="44" customWidth="1"/>
    <col min="3" max="3" width="18" customWidth="1"/>
    <col min="4" max="4" width="20" customWidth="1"/>
    <col min="5" max="5" width="35" customWidth="1"/>
    <col min="6" max="11" width="15" customWidth="1"/>
  </cols>
  <sheetData>
    <row r="1" spans="1:11" ht="27.95" customHeight="1" x14ac:dyDescent="0.25">
      <c r="A1" s="30" t="s">
        <v>262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27.95" customHeight="1" x14ac:dyDescent="0.25">
      <c r="A2" s="27" t="s">
        <v>263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" customHeight="1" x14ac:dyDescent="0.25">
      <c r="A4" s="2" t="s">
        <v>2</v>
      </c>
      <c r="B4" s="3" t="s">
        <v>3</v>
      </c>
      <c r="C4" s="1"/>
      <c r="D4" s="4" t="s">
        <v>4</v>
      </c>
      <c r="E4" s="1"/>
      <c r="F4" s="5" t="s">
        <v>5</v>
      </c>
      <c r="G4" s="1"/>
      <c r="H4" s="6" t="s">
        <v>6</v>
      </c>
      <c r="I4" s="1"/>
      <c r="J4" s="1"/>
      <c r="K4" s="1"/>
    </row>
    <row r="5" spans="1:11" ht="1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100000000000001" customHeight="1" x14ac:dyDescent="0.25">
      <c r="A6" s="29" t="s">
        <v>264</v>
      </c>
      <c r="B6" s="28"/>
      <c r="C6" s="28"/>
      <c r="D6" s="28"/>
      <c r="E6" s="28"/>
      <c r="F6" s="1"/>
      <c r="G6" s="1"/>
      <c r="H6" s="1"/>
      <c r="I6" s="1"/>
      <c r="J6" s="1"/>
      <c r="K6" s="1"/>
    </row>
    <row r="7" spans="1:11" x14ac:dyDescent="0.25">
      <c r="A7" s="7" t="s">
        <v>265</v>
      </c>
      <c r="B7" s="7" t="s">
        <v>266</v>
      </c>
      <c r="C7" s="7" t="s">
        <v>48</v>
      </c>
      <c r="D7" s="7" t="s">
        <v>105</v>
      </c>
      <c r="E7" s="7" t="s">
        <v>267</v>
      </c>
      <c r="F7" s="1"/>
      <c r="G7" s="1"/>
      <c r="H7" s="1"/>
      <c r="I7" s="1"/>
      <c r="J7" s="1"/>
      <c r="K7" s="1"/>
    </row>
    <row r="8" spans="1:11" x14ac:dyDescent="0.25">
      <c r="A8" s="2" t="s">
        <v>268</v>
      </c>
      <c r="B8" s="24" t="str">
        <f>Diagnóstico!B9</f>
        <v>Asesoría contable, fiscal y financiera</v>
      </c>
      <c r="C8" s="11" t="s">
        <v>51</v>
      </c>
      <c r="D8" s="11" t="s">
        <v>109</v>
      </c>
      <c r="E8" s="11"/>
      <c r="F8" s="1"/>
      <c r="G8" s="1"/>
      <c r="H8" s="1"/>
      <c r="I8" s="1"/>
      <c r="J8" s="1"/>
      <c r="K8" s="1"/>
    </row>
    <row r="9" spans="1:11" ht="30" x14ac:dyDescent="0.25">
      <c r="A9" s="2" t="s">
        <v>54</v>
      </c>
      <c r="B9" s="24" t="str">
        <f>Diagnóstico!B10</f>
        <v>Emprendedores y pequeños negocios de habla hispana</v>
      </c>
      <c r="C9" s="11" t="s">
        <v>51</v>
      </c>
      <c r="D9" s="11" t="s">
        <v>109</v>
      </c>
      <c r="E9" s="11"/>
      <c r="F9" s="1"/>
      <c r="G9" s="1"/>
      <c r="H9" s="1"/>
      <c r="I9" s="1"/>
      <c r="J9" s="1"/>
      <c r="K9" s="1"/>
    </row>
    <row r="10" spans="1:11" x14ac:dyDescent="0.25">
      <c r="A10" s="2" t="s">
        <v>62</v>
      </c>
      <c r="B10" s="24" t="str">
        <f>Diagnóstico!B13</f>
        <v>Servicio integral contable y fiscal</v>
      </c>
      <c r="C10" s="11" t="s">
        <v>51</v>
      </c>
      <c r="D10" s="11" t="s">
        <v>115</v>
      </c>
      <c r="E10" s="11"/>
      <c r="F10" s="1"/>
      <c r="G10" s="1"/>
      <c r="H10" s="1"/>
      <c r="I10" s="1"/>
      <c r="J10" s="1"/>
      <c r="K10" s="1"/>
    </row>
    <row r="11" spans="1:11" x14ac:dyDescent="0.25">
      <c r="A11" s="2" t="s">
        <v>269</v>
      </c>
      <c r="B11" s="23">
        <f>Diagnóstico!B30</f>
        <v>0.75</v>
      </c>
      <c r="C11" s="11" t="s">
        <v>58</v>
      </c>
      <c r="D11" s="11" t="s">
        <v>109</v>
      </c>
      <c r="E11" s="11"/>
      <c r="F11" s="1"/>
      <c r="G11" s="1"/>
      <c r="H11" s="1"/>
      <c r="I11" s="1"/>
      <c r="J11" s="1"/>
      <c r="K11" s="1"/>
    </row>
    <row r="12" spans="1:11" x14ac:dyDescent="0.25">
      <c r="A12" s="2" t="s">
        <v>99</v>
      </c>
      <c r="B12" s="20">
        <f>'Inversión Inicial'!C22</f>
        <v>47000</v>
      </c>
      <c r="C12" s="11" t="s">
        <v>58</v>
      </c>
      <c r="D12" s="11" t="s">
        <v>109</v>
      </c>
      <c r="E12" s="11"/>
      <c r="F12" s="1"/>
      <c r="G12" s="1"/>
      <c r="H12" s="1"/>
      <c r="I12" s="1"/>
      <c r="J12" s="1"/>
      <c r="K12" s="1"/>
    </row>
    <row r="13" spans="1:11" x14ac:dyDescent="0.25">
      <c r="A13" s="2" t="s">
        <v>154</v>
      </c>
      <c r="B13" s="20">
        <f>'Inversión Inicial'!B39</f>
        <v>99000</v>
      </c>
      <c r="C13" s="11" t="s">
        <v>58</v>
      </c>
      <c r="D13" s="11" t="s">
        <v>109</v>
      </c>
      <c r="E13" s="11"/>
      <c r="F13" s="1"/>
      <c r="G13" s="1"/>
      <c r="H13" s="1"/>
      <c r="I13" s="1"/>
      <c r="J13" s="1"/>
      <c r="K13" s="1"/>
    </row>
    <row r="14" spans="1:11" x14ac:dyDescent="0.25">
      <c r="A14" s="2" t="s">
        <v>270</v>
      </c>
      <c r="B14" s="20">
        <f>'Inversión Inicial'!B34</f>
        <v>15000</v>
      </c>
      <c r="C14" s="11" t="s">
        <v>58</v>
      </c>
      <c r="D14" s="11" t="s">
        <v>109</v>
      </c>
      <c r="E14" s="11"/>
      <c r="F14" s="1"/>
      <c r="G14" s="1"/>
      <c r="H14" s="1"/>
      <c r="I14" s="1"/>
      <c r="J14" s="1"/>
      <c r="K14" s="1"/>
    </row>
    <row r="15" spans="1:11" x14ac:dyDescent="0.25">
      <c r="A15" s="2" t="s">
        <v>168</v>
      </c>
      <c r="B15" s="25">
        <f>'Punto Equilibrio'!B23</f>
        <v>7</v>
      </c>
      <c r="C15" s="11" t="s">
        <v>58</v>
      </c>
      <c r="D15" s="11" t="s">
        <v>109</v>
      </c>
      <c r="E15" s="11"/>
      <c r="F15" s="1"/>
      <c r="G15" s="1"/>
      <c r="H15" s="1"/>
      <c r="I15" s="1"/>
      <c r="J15" s="1"/>
      <c r="K15" s="1"/>
    </row>
    <row r="16" spans="1:11" ht="30" x14ac:dyDescent="0.25">
      <c r="A16" s="2" t="s">
        <v>169</v>
      </c>
      <c r="B16" s="25">
        <f>'Punto Equilibrio'!B24</f>
        <v>15</v>
      </c>
      <c r="C16" s="11" t="s">
        <v>58</v>
      </c>
      <c r="D16" s="11" t="s">
        <v>109</v>
      </c>
      <c r="E16" s="11"/>
      <c r="F16" s="1"/>
      <c r="G16" s="1"/>
      <c r="H16" s="1"/>
      <c r="I16" s="1"/>
      <c r="J16" s="1"/>
      <c r="K16" s="1"/>
    </row>
    <row r="17" spans="1:11" ht="18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8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8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100000000000001" customHeight="1" x14ac:dyDescent="0.25">
      <c r="A20" s="31" t="s">
        <v>271</v>
      </c>
      <c r="B20" s="28"/>
      <c r="C20" s="28"/>
      <c r="D20" s="28"/>
      <c r="E20" s="28"/>
      <c r="F20" s="1"/>
      <c r="G20" s="1"/>
      <c r="H20" s="1"/>
      <c r="I20" s="1"/>
      <c r="J20" s="1"/>
      <c r="K20" s="1"/>
    </row>
    <row r="21" spans="1:11" ht="24" x14ac:dyDescent="0.25">
      <c r="A21" s="7" t="s">
        <v>65</v>
      </c>
      <c r="B21" s="7" t="s">
        <v>272</v>
      </c>
      <c r="C21" s="7" t="s">
        <v>105</v>
      </c>
      <c r="D21" s="7" t="s">
        <v>273</v>
      </c>
      <c r="E21" s="7" t="s">
        <v>274</v>
      </c>
      <c r="F21" s="1"/>
      <c r="G21" s="1"/>
      <c r="H21" s="1"/>
      <c r="I21" s="1"/>
      <c r="J21" s="1"/>
      <c r="K21" s="1"/>
    </row>
    <row r="22" spans="1:11" ht="30" x14ac:dyDescent="0.25">
      <c r="A22" s="11" t="s">
        <v>275</v>
      </c>
      <c r="B22" s="11"/>
      <c r="C22" s="11" t="s">
        <v>109</v>
      </c>
      <c r="D22" s="11"/>
      <c r="E22" s="11"/>
      <c r="F22" s="1"/>
      <c r="G22" s="1"/>
      <c r="H22" s="1"/>
      <c r="I22" s="1"/>
      <c r="J22" s="1"/>
      <c r="K22" s="1"/>
    </row>
    <row r="23" spans="1:11" ht="45" x14ac:dyDescent="0.25">
      <c r="A23" s="11" t="s">
        <v>276</v>
      </c>
      <c r="B23" s="11"/>
      <c r="C23" s="11" t="s">
        <v>109</v>
      </c>
      <c r="D23" s="11"/>
      <c r="E23" s="11"/>
      <c r="F23" s="1"/>
      <c r="G23" s="1"/>
      <c r="H23" s="1"/>
      <c r="I23" s="1"/>
      <c r="J23" s="1"/>
      <c r="K23" s="1"/>
    </row>
    <row r="24" spans="1:11" ht="30" x14ac:dyDescent="0.25">
      <c r="A24" s="11" t="s">
        <v>277</v>
      </c>
      <c r="B24" s="11"/>
      <c r="C24" s="11" t="s">
        <v>109</v>
      </c>
      <c r="D24" s="11"/>
      <c r="E24" s="11"/>
      <c r="F24" s="1"/>
      <c r="G24" s="1"/>
      <c r="H24" s="1"/>
      <c r="I24" s="1"/>
      <c r="J24" s="1"/>
      <c r="K24" s="1"/>
    </row>
    <row r="25" spans="1:11" ht="30" x14ac:dyDescent="0.25">
      <c r="A25" s="11" t="s">
        <v>278</v>
      </c>
      <c r="B25" s="11"/>
      <c r="C25" s="11" t="s">
        <v>115</v>
      </c>
      <c r="D25" s="11"/>
      <c r="E25" s="11"/>
      <c r="F25" s="1"/>
      <c r="G25" s="1"/>
      <c r="H25" s="1"/>
      <c r="I25" s="1"/>
      <c r="J25" s="1"/>
      <c r="K25" s="1"/>
    </row>
    <row r="26" spans="1:11" ht="30" x14ac:dyDescent="0.25">
      <c r="A26" s="11" t="s">
        <v>279</v>
      </c>
      <c r="B26" s="11"/>
      <c r="C26" s="11" t="s">
        <v>115</v>
      </c>
      <c r="D26" s="11"/>
      <c r="E26" s="11"/>
      <c r="F26" s="1"/>
      <c r="G26" s="1"/>
      <c r="H26" s="1"/>
      <c r="I26" s="1"/>
      <c r="J26" s="1"/>
      <c r="K26" s="1"/>
    </row>
  </sheetData>
  <mergeCells count="4">
    <mergeCell ref="A2:K2"/>
    <mergeCell ref="A6:E6"/>
    <mergeCell ref="A1:K1"/>
    <mergeCell ref="A20:E20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8</vt:i4>
      </vt:variant>
    </vt:vector>
  </HeadingPairs>
  <TitlesOfParts>
    <vt:vector size="16" baseType="lpstr">
      <vt:lpstr>Portada</vt:lpstr>
      <vt:lpstr>Diagnóstico</vt:lpstr>
      <vt:lpstr>Inversión Inicial</vt:lpstr>
      <vt:lpstr>Punto Equilibrio</vt:lpstr>
      <vt:lpstr>Precio Servicios</vt:lpstr>
      <vt:lpstr>Control Mensual</vt:lpstr>
      <vt:lpstr>Checklist Fiscal</vt:lpstr>
      <vt:lpstr>Asesoría Previa</vt:lpstr>
      <vt:lpstr>'Asesoría Previa'!Títulos_a_imprimir</vt:lpstr>
      <vt:lpstr>'Checklist Fiscal'!Títulos_a_imprimir</vt:lpstr>
      <vt:lpstr>'Control Mensual'!Títulos_a_imprimir</vt:lpstr>
      <vt:lpstr>Diagnóstico!Títulos_a_imprimir</vt:lpstr>
      <vt:lpstr>'Inversión Inicial'!Títulos_a_imprimir</vt:lpstr>
      <vt:lpstr>Portada!Títulos_a_imprimir</vt:lpstr>
      <vt:lpstr>'Precio Servicios'!Títulos_a_imprimir</vt:lpstr>
      <vt:lpstr>'Punto Equilibrio'!Títulos_a_imprimir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Enrique Jacobo Luna</dc:creator>
  <cp:keywords/>
  <dc:description/>
  <cp:lastModifiedBy>Luis Enrique Jacobo Luna</cp:lastModifiedBy>
  <cp:revision/>
  <dcterms:created xsi:type="dcterms:W3CDTF">2026-07-09T19:30:20Z</dcterms:created>
  <dcterms:modified xsi:type="dcterms:W3CDTF">2026-08-18T00:55:36Z</dcterms:modified>
  <cp:category/>
  <cp:contentStatus/>
</cp:coreProperties>
</file>